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063416b93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23d30358eeb4392"/>
    <x:sheet xmlns:r="http://schemas.openxmlformats.org/officeDocument/2006/relationships" name="Raw_Quarterly" sheetId="2" r:id="Ra6cbf8e8970f45a2"/>
    <x:sheet xmlns:r="http://schemas.openxmlformats.org/officeDocument/2006/relationships" name="Cleaned_Quarterly" sheetId="3" r:id="R4d842ed917984ebf"/>
    <x:sheet xmlns:r="http://schemas.openxmlformats.org/officeDocument/2006/relationships" name="Current_KPIs" sheetId="4" r:id="R612e6139153a4015"/>
    <x:sheet xmlns:r="http://schemas.openxmlformats.org/officeDocument/2006/relationships" name="Data_Dictionary" sheetId="5" r:id="R47b8a799a807427a"/>
    <x:sheet xmlns:r="http://schemas.openxmlformats.org/officeDocument/2006/relationships" name="Source_Log" sheetId="6" r:id="R9c39dad5cec04d89"/>
    <x:sheet xmlns:r="http://schemas.openxmlformats.org/officeDocument/2006/relationships" name="QA_Checks" sheetId="7" r:id="R2dfc746a3a5f428b"/>
    <x:sheet xmlns:r="http://schemas.openxmlformats.org/officeDocument/2006/relationships" name="Trend_Index" sheetId="8" r:id="R1722526119674892"/>
    <x:sheet xmlns:r="http://schemas.openxmlformats.org/officeDocument/2006/relationships" name="Overview" sheetId="9" r:id="R4f7d1d3e7cbd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#,##0.0;[Red](#,##0.0);-"/>
    <x:numFmt numFmtId="203" formatCode="0.0x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17365D"/>
      <x:name val="Carlito"/>
    </x:font>
    <x:font>
      <x:b/>
      <x:sz val="10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i/>
      <x:sz val="11"/>
      <x:color rgb="FF5B657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6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98dd4c1d29406d" /><Relationship Type="http://schemas.openxmlformats.org/officeDocument/2006/relationships/theme" Target="/xl/theme/theme1.xml" Id="R0cf181e704ba4fe0" /><Relationship Type="http://schemas.openxmlformats.org/officeDocument/2006/relationships/sharedStrings" Target="/xl/sharedStrings.xml" Id="R8b4163f9253c447c" /><Relationship Type="http://schemas.openxmlformats.org/officeDocument/2006/relationships/worksheet" Target="/xl/worksheets/sheet1.xml" Id="Rc23d30358eeb4392" /><Relationship Type="http://schemas.openxmlformats.org/officeDocument/2006/relationships/worksheet" Target="/xl/worksheets/sheet2.xml" Id="Ra6cbf8e8970f45a2" /><Relationship Type="http://schemas.openxmlformats.org/officeDocument/2006/relationships/worksheet" Target="/xl/worksheets/sheet3.xml" Id="R4d842ed917984ebf" /><Relationship Type="http://schemas.openxmlformats.org/officeDocument/2006/relationships/worksheet" Target="/xl/worksheets/sheet4.xml" Id="R612e6139153a4015" /><Relationship Type="http://schemas.openxmlformats.org/officeDocument/2006/relationships/worksheet" Target="/xl/worksheets/sheet5.xml" Id="R47b8a799a807427a" /><Relationship Type="http://schemas.openxmlformats.org/officeDocument/2006/relationships/worksheet" Target="/xl/worksheets/sheet6.xml" Id="R9c39dad5cec04d89" /><Relationship Type="http://schemas.openxmlformats.org/officeDocument/2006/relationships/worksheet" Target="/xl/worksheets/sheet7.xml" Id="R2dfc746a3a5f428b" /><Relationship Type="http://schemas.openxmlformats.org/officeDocument/2006/relationships/worksheet" Target="/xl/worksheets/sheet8.xml" Id="R1722526119674892" /><Relationship Type="http://schemas.openxmlformats.org/officeDocument/2006/relationships/worksheet" Target="/xl/worksheets/sheet9.xml" Id="R4f7d1d3e7cbd41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5a09cc5a2343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Quarterly Revenue Index (Q1 FY24 = 100)</a:t>
            </a:r>
          </a:p>
        </c:rich>
      </c:tx>
    </c:title>
    <c:plotArea>
      <c:lineChart>
        <c:grouping val="standard"/>
        <c:ser>
          <c:idx val="0"/>
          <c:order val="0"/>
          <c:tx>
            <c:v>TCS</c:v>
          </c:tx>
          <c:marker>
            <c:symbol val="none"/>
          </c:marker>
          <c:cat>
            <c:strRef>
              <c:f>'Trend_Index'!$A$5:$A$17</c:f>
              <c:strCache>
                <c:ptCount val="0"/>
              </c:strCache>
            </c:strRef>
          </c:cat>
          <c:val>
            <c:numRef>
              <c:f>'Trend_Index'!$B$5:$B$17</c:f>
              <c:numCache>
                <c:formatCode>0.0x</c:formatCode>
                <c:ptCount val="0"/>
              </c:numCache>
            </c:numRef>
          </c:val>
        </c:ser>
        <c:ser>
          <c:idx val="1"/>
          <c:order val="1"/>
          <c:tx>
            <c:v>Infosys</c:v>
          </c:tx>
          <c:marker>
            <c:symbol val="none"/>
          </c:marker>
          <c:cat>
            <c:strRef>
              <c:f>'Trend_Index'!$A$5:$A$17</c:f>
              <c:strCache>
                <c:ptCount val="0"/>
              </c:strCache>
            </c:strRef>
          </c:cat>
          <c:val>
            <c:numRef>
              <c:f>'Trend_Index'!$C$5:$C$17</c:f>
              <c:numCache>
                <c:formatCode>0.0x</c:formatCode>
                <c:ptCount val="0"/>
              </c:numCache>
            </c:numRef>
          </c:val>
        </c:ser>
        <c:ser>
          <c:idx val="2"/>
          <c:order val="2"/>
          <c:tx>
            <c:v>HCLTech</c:v>
          </c:tx>
          <c:marker>
            <c:symbol val="none"/>
          </c:marker>
          <c:cat>
            <c:strRef>
              <c:f>'Trend_Index'!$A$5:$A$17</c:f>
              <c:strCache>
                <c:ptCount val="0"/>
              </c:strCache>
            </c:strRef>
          </c:cat>
          <c:val>
            <c:numRef>
              <c:f>'Trend_Index'!$D$5:$D$17</c:f>
              <c:numCache>
                <c:formatCode>0.0x</c:formatCode>
                <c:ptCount val="0"/>
              </c:numCache>
            </c:numRef>
          </c:val>
        </c:ser>
        <c:ser>
          <c:idx val="3"/>
          <c:order val="3"/>
          <c:tx>
            <c:v>Wipro</c:v>
          </c:tx>
          <c:marker>
            <c:symbol val="none"/>
          </c:marker>
          <c:cat>
            <c:strRef>
              <c:f>'Trend_Index'!$A$5:$A$17</c:f>
              <c:strCache>
                <c:ptCount val="0"/>
              </c:strCache>
            </c:strRef>
          </c:cat>
          <c:val>
            <c:numRef>
              <c:f>'Trend_Index'!$E$5:$E$17</c:f>
              <c:numCache>
                <c:formatCode>0.0x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5a09cc5a2343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QuarterlyTable" displayName="RawQuarterlyTable" ref="A4:H56" headerRowCount="1" totalsRowCount="0" totalsRowShown="0">
  <x:tableColumns count="8">
    <x:tableColumn id="1" name="Company"/>
    <x:tableColumn id="2" name="Period End"/>
    <x:tableColumn id="3" name="Fiscal Quarter"/>
    <x:tableColumn id="4" name="Revenue (INR Cr)"/>
    <x:tableColumn id="5" name="Operating Profit (INR Cr)"/>
    <x:tableColumn id="6" name="Net Profit (INR Cr)"/>
    <x:tableColumn id="7" name="Source Type"/>
    <x:tableColumn id="8" name="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eanedQuarterlyTable" displayName="CleanedQuarterlyTable" ref="A4:L56" headerRowCount="1" totalsRowCount="0" totalsRowShown="0">
  <x:tableColumns count="12">
    <x:tableColumn id="1" name="Company"/>
    <x:tableColumn id="2" name="Period End"/>
    <x:tableColumn id="3" name="Fiscal Quarter"/>
    <x:tableColumn id="4" name="Revenue (INR Cr)"/>
    <x:tableColumn id="5" name="Operating Profit (INR Cr)"/>
    <x:tableColumn id="6" name="Net Profit (INR Cr)"/>
    <x:tableColumn id="7" name="QoQ Revenue Growth (%)"/>
    <x:tableColumn id="8" name="YoY Revenue Growth (%)"/>
    <x:tableColumn id="9" name="Operating Margin (%)"/>
    <x:tableColumn id="10" name="Net Margin (%)"/>
    <x:tableColumn id="11" name="Unit"/>
    <x:tableColumn id="12" name="Data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rrentKPIsTable" displayName="CurrentKPIsTable" ref="A4:G35" headerRowCount="1" totalsRowCount="0" totalsRowShown="0">
  <x:tableColumns count="7">
    <x:tableColumn id="1" name="Company"/>
    <x:tableColumn id="2" name="Period"/>
    <x:tableColumn id="3" name="Metric"/>
    <x:tableColumn id="4" name="Value"/>
    <x:tableColumn id="5" name="Source / Validation Note"/>
    <x:tableColumn id="6" name="Source URL"/>
    <x:tableColumn id="7" name="Source Bas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4:G16" headerRowCount="1" totalsRowCount="0" totalsRowShown="0">
  <x:tableColumns count="7">
    <x:tableColumn id="1" name="Field"/>
    <x:tableColumn id="2" name="Definition"/>
    <x:tableColumn id="3" name="Unit"/>
    <x:tableColumn id="4" name="Frequency"/>
    <x:tableColumn id="5" name="Source Role"/>
    <x:tableColumn id="6" name="Cleaning / Calculation Rule"/>
    <x:tableColumn id="7" name="Week 3/4 U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LogTable" displayName="SourceLogTable" ref="A4:E14" headerRowCount="1" totalsRowCount="0" totalsRowShown="0">
  <x:tableColumns count="5">
    <x:tableColumn id="1" name="Priority"/>
    <x:tableColumn id="2" name="Source"/>
    <x:tableColumn id="3" name="Use"/>
    <x:tableColumn id="4" name="Base URL / Reference"/>
    <x:tableColumn id="5" name="Treat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QAChecksTable" displayName="QAChecksTable" ref="A4:F15" headerRowCount="1" totalsRowCount="0" totalsRowShown="0">
  <x:tableColumns count="6">
    <x:tableColumn id="1" name="Check"/>
    <x:tableColumn id="2" name="Expected Rule"/>
    <x:tableColumn id="3" name="Observed / Result"/>
    <x:tableColumn id="4" name="Status"/>
    <x:tableColumn id="5" name="Action"/>
    <x:tableColumn id="6" name="Impact on Analy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8549cbe3b4b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732e53f9984e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87ef0fb38e4c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5784ed9e5244d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0fa356182945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5bf92b2ee646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22eb1376ec94cb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 ht="26" customHeight="1">
      <x:c r="A1" s="4" t="str">
        <x:v>Week 2 | Financial Data Collection &amp; Cleaning</x:v>
      </x:c>
    </x:row>
    <x:row r="2">
      <x:c r="A2" s="9" t="str">
        <x:v>TCS vs Infosys, HCLTech and Wipro | FY23–Q1 FY27 | Analysis-ready handoff to Weeks 3–4</x:v>
      </x:c>
    </x:row>
    <x:row r="4">
      <x:c r="A4" s="12" t="str">
        <x:v>Project</x:v>
      </x:c>
      <x:c r="B4" s="14" t="str">
        <x:v>Junior Financial Data Analyst Internship – Yuvaintern</x:v>
      </x:c>
    </x:row>
    <x:row r="5">
      <x:c r="A5" s="12" t="str">
        <x:v>Analytical universe</x:v>
      </x:c>
      <x:c r="B5" s="14" t="str">
        <x:v>TCS, Infosys, HCLTech, Wipro</x:v>
      </x:c>
    </x:row>
    <x:row r="6">
      <x:c r="A6" s="12" t="str">
        <x:v>Common quarterly window</x:v>
      </x:c>
      <x:c r="B6" s="14" t="str">
        <x:v>Q1 FY24 to Q1 FY27 (13 quarters per company; 52 company-quarter observations)</x:v>
      </x:c>
    </x:row>
    <x:row r="7">
      <x:c r="A7" s="12" t="str">
        <x:v>Annual context</x:v>
      </x:c>
      <x:c r="B7" s="14" t="str">
        <x:v>FY23 and FY26 annual figures are used where relevant for context; cross-company quarter-level comparison uses the common 13-quarter window.</x:v>
      </x:c>
    </x:row>
    <x:row r="8">
      <x:c r="A8" s="12" t="str">
        <x:v>Primary-source principle</x:v>
      </x:c>
      <x:c r="B8" s="14" t="str">
        <x:v>Issuer investor-relations releases, financial statements and exchange filings are the source of record for verification.</x:v>
      </x:c>
    </x:row>
    <x:row r="9">
      <x:c r="A9" s="12" t="str">
        <x:v>Secondary structured layer</x:v>
      </x:c>
      <x:c r="B9" s="14" t="str">
        <x:v>Screener quarterly series are used only as a structured historical extraction/reconciliation layer and are flagged as secondary.</x:v>
      </x:c>
    </x:row>
    <x:row r="10">
      <x:c r="A10" s="12" t="str">
        <x:v>Standard units</x:v>
      </x:c>
      <x:c r="B10" s="14" t="str">
        <x:v>Financial statement values are standardized to INR crore; derived margins/growth are percentages.</x:v>
      </x:c>
    </x:row>
    <x:row r="11">
      <x:c r="A11" s="12" t="str">
        <x:v>Next use</x:v>
      </x:c>
      <x:c r="B11" s="14" t="str">
        <x:v>Week 3 visualizations and Week 4 forecasting/predictive modelling.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23" hidden="0" customWidth="1"/>
    <x:col min="6" max="6" width="20" hidden="0" customWidth="1"/>
    <x:col min="7" max="7" width="34" hidden="0" customWidth="1"/>
    <x:col min="8" max="8" width="55" hidden="0" customWidth="1"/>
  </x:cols>
  <x:sheetData>
    <x:row r="1" ht="26" customHeight="1">
      <x:c r="A1" s="4" t="str">
        <x:v>Raw Quarterly Dataset</x:v>
      </x:c>
    </x:row>
    <x:row r="2">
      <x:c r="A2" s="9" t="str">
        <x:v>Historical operating series before analytical transformations. Source hierarchy and URLs are retained for auditability.</x:v>
      </x:c>
    </x:row>
    <x:row r="4">
      <x:c r="A4" s="19" t="str">
        <x:v>Company</x:v>
      </x:c>
      <x:c r="B4" s="19" t="str">
        <x:v>Period End</x:v>
      </x:c>
      <x:c r="C4" s="19" t="str">
        <x:v>Fiscal Quarter</x:v>
      </x:c>
      <x:c r="D4" s="19" t="str">
        <x:v>Revenue (INR Cr)</x:v>
      </x:c>
      <x:c r="E4" s="19" t="str">
        <x:v>Operating Profit (INR Cr)</x:v>
      </x:c>
      <x:c r="F4" s="19" t="str">
        <x:v>Net Profit (INR Cr)</x:v>
      </x:c>
      <x:c r="G4" s="19" t="str">
        <x:v>Source Type</x:v>
      </x:c>
      <x:c r="H4" s="19" t="str">
        <x:v>Source URL</x:v>
      </x:c>
    </x:row>
    <x:row r="5">
      <x:c r="A5" s="14" t="str">
        <x:v>TCS</x:v>
      </x:c>
      <x:c r="B5" s="14" t="str">
        <x:v>Jun-23</x:v>
      </x:c>
      <x:c r="C5" s="14" t="str">
        <x:v>Q1 FY24</x:v>
      </x:c>
      <x:c r="D5" s="26" t="n">
        <x:v>59381</x:v>
      </x:c>
      <x:c r="E5" s="26" t="n">
        <x:v>14998</x:v>
      </x:c>
      <x:c r="F5" s="26" t="n">
        <x:v>11120</x:v>
      </x:c>
      <x:c r="G5" s="14" t="str">
        <x:v>Secondary structured extraction (Screener); Q1 FY27 cross-checked to TCS issuer release</x:v>
      </x:c>
      <x:c r="H5" s="14" t="str">
        <x:v>https://www.screener.in/company/TCS/consolidated/</x:v>
      </x:c>
    </x:row>
    <x:row r="6">
      <x:c r="A6" s="14" t="str">
        <x:v>TCS</x:v>
      </x:c>
      <x:c r="B6" s="14" t="str">
        <x:v>Sep-23</x:v>
      </x:c>
      <x:c r="C6" s="14" t="str">
        <x:v>Q2 FY24</x:v>
      </x:c>
      <x:c r="D6" s="26" t="n">
        <x:v>59692</x:v>
      </x:c>
      <x:c r="E6" s="26" t="n">
        <x:v>15746</x:v>
      </x:c>
      <x:c r="F6" s="26" t="n">
        <x:v>11380</x:v>
      </x:c>
      <x:c r="G6" s="14" t="str">
        <x:v>Secondary structured extraction (Screener); Q1 FY27 cross-checked to TCS issuer release</x:v>
      </x:c>
      <x:c r="H6" s="14" t="str">
        <x:v>https://www.screener.in/company/TCS/consolidated/</x:v>
      </x:c>
    </x:row>
    <x:row r="7">
      <x:c r="A7" s="14" t="str">
        <x:v>TCS</x:v>
      </x:c>
      <x:c r="B7" s="14" t="str">
        <x:v>Dec-23</x:v>
      </x:c>
      <x:c r="C7" s="14" t="str">
        <x:v>Q3 FY24</x:v>
      </x:c>
      <x:c r="D7" s="26" t="n">
        <x:v>60583</x:v>
      </x:c>
      <x:c r="E7" s="26" t="n">
        <x:v>16388</x:v>
      </x:c>
      <x:c r="F7" s="26" t="n">
        <x:v>11097</x:v>
      </x:c>
      <x:c r="G7" s="14" t="str">
        <x:v>Secondary structured extraction (Screener); Q1 FY27 cross-checked to TCS issuer release</x:v>
      </x:c>
      <x:c r="H7" s="14" t="str">
        <x:v>https://www.screener.in/company/TCS/consolidated/</x:v>
      </x:c>
    </x:row>
    <x:row r="8">
      <x:c r="A8" s="14" t="str">
        <x:v>TCS</x:v>
      </x:c>
      <x:c r="B8" s="14" t="str">
        <x:v>Mar-24</x:v>
      </x:c>
      <x:c r="C8" s="14" t="str">
        <x:v>Q4 FY24</x:v>
      </x:c>
      <x:c r="D8" s="26" t="n">
        <x:v>61237</x:v>
      </x:c>
      <x:c r="E8" s="26" t="n">
        <x:v>17164</x:v>
      </x:c>
      <x:c r="F8" s="26" t="n">
        <x:v>12502</x:v>
      </x:c>
      <x:c r="G8" s="14" t="str">
        <x:v>Secondary structured extraction (Screener); Q1 FY27 cross-checked to TCS issuer release</x:v>
      </x:c>
      <x:c r="H8" s="14" t="str">
        <x:v>https://www.screener.in/company/TCS/consolidated/</x:v>
      </x:c>
    </x:row>
    <x:row r="9">
      <x:c r="A9" s="14" t="str">
        <x:v>TCS</x:v>
      </x:c>
      <x:c r="B9" s="14" t="str">
        <x:v>Jun-24</x:v>
      </x:c>
      <x:c r="C9" s="14" t="str">
        <x:v>Q1 FY25</x:v>
      </x:c>
      <x:c r="D9" s="26" t="n">
        <x:v>62613</x:v>
      </x:c>
      <x:c r="E9" s="26" t="n">
        <x:v>16662</x:v>
      </x:c>
      <x:c r="F9" s="26" t="n">
        <x:v>12105</x:v>
      </x:c>
      <x:c r="G9" s="14" t="str">
        <x:v>Secondary structured extraction (Screener); Q1 FY27 cross-checked to TCS issuer release</x:v>
      </x:c>
      <x:c r="H9" s="14" t="str">
        <x:v>https://www.screener.in/company/TCS/consolidated/</x:v>
      </x:c>
    </x:row>
    <x:row r="10">
      <x:c r="A10" s="14" t="str">
        <x:v>TCS</x:v>
      </x:c>
      <x:c r="B10" s="14" t="str">
        <x:v>Sep-24</x:v>
      </x:c>
      <x:c r="C10" s="14" t="str">
        <x:v>Q2 FY25</x:v>
      </x:c>
      <x:c r="D10" s="26" t="n">
        <x:v>64259</x:v>
      </x:c>
      <x:c r="E10" s="26" t="n">
        <x:v>16731</x:v>
      </x:c>
      <x:c r="F10" s="26" t="n">
        <x:v>11955</x:v>
      </x:c>
      <x:c r="G10" s="14" t="str">
        <x:v>Secondary structured extraction (Screener); Q1 FY27 cross-checked to TCS issuer release</x:v>
      </x:c>
      <x:c r="H10" s="14" t="str">
        <x:v>https://www.screener.in/company/TCS/consolidated/</x:v>
      </x:c>
    </x:row>
    <x:row r="11">
      <x:c r="A11" s="14" t="str">
        <x:v>TCS</x:v>
      </x:c>
      <x:c r="B11" s="14" t="str">
        <x:v>Dec-24</x:v>
      </x:c>
      <x:c r="C11" s="14" t="str">
        <x:v>Q3 FY25</x:v>
      </x:c>
      <x:c r="D11" s="26" t="n">
        <x:v>63973</x:v>
      </x:c>
      <x:c r="E11" s="26" t="n">
        <x:v>17034</x:v>
      </x:c>
      <x:c r="F11" s="26" t="n">
        <x:v>12444</x:v>
      </x:c>
      <x:c r="G11" s="14" t="str">
        <x:v>Secondary structured extraction (Screener); Q1 FY27 cross-checked to TCS issuer release</x:v>
      </x:c>
      <x:c r="H11" s="14" t="str">
        <x:v>https://www.screener.in/company/TCS/consolidated/</x:v>
      </x:c>
    </x:row>
    <x:row r="12">
      <x:c r="A12" s="14" t="str">
        <x:v>TCS</x:v>
      </x:c>
      <x:c r="B12" s="14" t="str">
        <x:v>Mar-25</x:v>
      </x:c>
      <x:c r="C12" s="14" t="str">
        <x:v>Q4 FY25</x:v>
      </x:c>
      <x:c r="D12" s="26" t="n">
        <x:v>64479</x:v>
      </x:c>
      <x:c r="E12" s="26" t="n">
        <x:v>16980</x:v>
      </x:c>
      <x:c r="F12" s="26" t="n">
        <x:v>12293</x:v>
      </x:c>
      <x:c r="G12" s="14" t="str">
        <x:v>Secondary structured extraction (Screener); Q1 FY27 cross-checked to TCS issuer release</x:v>
      </x:c>
      <x:c r="H12" s="14" t="str">
        <x:v>https://www.screener.in/company/TCS/consolidated/</x:v>
      </x:c>
    </x:row>
    <x:row r="13">
      <x:c r="A13" s="14" t="str">
        <x:v>TCS</x:v>
      </x:c>
      <x:c r="B13" s="14" t="str">
        <x:v>Jun-25</x:v>
      </x:c>
      <x:c r="C13" s="14" t="str">
        <x:v>Q1 FY26</x:v>
      </x:c>
      <x:c r="D13" s="26" t="n">
        <x:v>63437</x:v>
      </x:c>
      <x:c r="E13" s="26" t="n">
        <x:v>16875</x:v>
      </x:c>
      <x:c r="F13" s="26" t="n">
        <x:v>12819</x:v>
      </x:c>
      <x:c r="G13" s="14" t="str">
        <x:v>Secondary structured extraction (Screener); Q1 FY27 cross-checked to TCS issuer release</x:v>
      </x:c>
      <x:c r="H13" s="14" t="str">
        <x:v>https://www.screener.in/company/TCS/consolidated/</x:v>
      </x:c>
    </x:row>
    <x:row r="14">
      <x:c r="A14" s="14" t="str">
        <x:v>TCS</x:v>
      </x:c>
      <x:c r="B14" s="14" t="str">
        <x:v>Sep-25</x:v>
      </x:c>
      <x:c r="C14" s="14" t="str">
        <x:v>Q2 FY26</x:v>
      </x:c>
      <x:c r="D14" s="26" t="n">
        <x:v>65799</x:v>
      </x:c>
      <x:c r="E14" s="26" t="n">
        <x:v>17978</x:v>
      </x:c>
      <x:c r="F14" s="26" t="n">
        <x:v>12131</x:v>
      </x:c>
      <x:c r="G14" s="14" t="str">
        <x:v>Secondary structured extraction (Screener); Q1 FY27 cross-checked to TCS issuer release</x:v>
      </x:c>
      <x:c r="H14" s="14" t="str">
        <x:v>https://www.screener.in/company/TCS/consolidated/</x:v>
      </x:c>
    </x:row>
    <x:row r="15">
      <x:c r="A15" s="14" t="str">
        <x:v>TCS</x:v>
      </x:c>
      <x:c r="B15" s="14" t="str">
        <x:v>Dec-25</x:v>
      </x:c>
      <x:c r="C15" s="14" t="str">
        <x:v>Q3 FY26</x:v>
      </x:c>
      <x:c r="D15" s="26" t="n">
        <x:v>67087</x:v>
      </x:c>
      <x:c r="E15" s="26" t="n">
        <x:v>18269</x:v>
      </x:c>
      <x:c r="F15" s="26" t="n">
        <x:v>10720</x:v>
      </x:c>
      <x:c r="G15" s="14" t="str">
        <x:v>Secondary structured extraction (Screener); Q1 FY27 cross-checked to TCS issuer release</x:v>
      </x:c>
      <x:c r="H15" s="14" t="str">
        <x:v>https://www.screener.in/company/TCS/consolidated/</x:v>
      </x:c>
    </x:row>
    <x:row r="16">
      <x:c r="A16" s="14" t="str">
        <x:v>TCS</x:v>
      </x:c>
      <x:c r="B16" s="14" t="str">
        <x:v>Mar-26</x:v>
      </x:c>
      <x:c r="C16" s="14" t="str">
        <x:v>Q4 FY26</x:v>
      </x:c>
      <x:c r="D16" s="26" t="n">
        <x:v>70698</x:v>
      </x:c>
      <x:c r="E16" s="26" t="n">
        <x:v>19276</x:v>
      </x:c>
      <x:c r="F16" s="26" t="n">
        <x:v>13784</x:v>
      </x:c>
      <x:c r="G16" s="14" t="str">
        <x:v>Secondary structured extraction (Screener); Q1 FY27 cross-checked to TCS issuer release</x:v>
      </x:c>
      <x:c r="H16" s="14" t="str">
        <x:v>https://www.screener.in/company/TCS/consolidated/</x:v>
      </x:c>
    </x:row>
    <x:row r="17">
      <x:c r="A17" s="14" t="str">
        <x:v>TCS</x:v>
      </x:c>
      <x:c r="B17" s="14" t="str">
        <x:v>Jun-26</x:v>
      </x:c>
      <x:c r="C17" s="14" t="str">
        <x:v>Q1 FY27</x:v>
      </x:c>
      <x:c r="D17" s="26" t="n">
        <x:v>72275</x:v>
      </x:c>
      <x:c r="E17" s="26" t="n">
        <x:v>18556</x:v>
      </x:c>
      <x:c r="F17" s="26" t="n">
        <x:v>13420</x:v>
      </x:c>
      <x:c r="G17" s="14" t="str">
        <x:v>Secondary structured extraction (Screener); Q1 FY27 cross-checked to TCS issuer release</x:v>
      </x:c>
      <x:c r="H17" s="14" t="str">
        <x:v>https://www.screener.in/company/TCS/consolidated/</x:v>
      </x:c>
    </x:row>
    <x:row r="18">
      <x:c r="A18" s="14" t="str">
        <x:v>Infosys</x:v>
      </x:c>
      <x:c r="B18" s="14" t="str">
        <x:v>Jun-23</x:v>
      </x:c>
      <x:c r="C18" s="14" t="str">
        <x:v>Q1 FY24</x:v>
      </x:c>
      <x:c r="D18" s="26" t="n">
        <x:v>37933</x:v>
      </x:c>
      <x:c r="E18" s="26" t="n">
        <x:v>9064</x:v>
      </x:c>
      <x:c r="F18" s="26" t="n">
        <x:v>5945</x:v>
      </x:c>
      <x:c r="G18" s="14" t="str">
        <x:v>Secondary structured extraction (Screener); Q1 FY27 cross-checked to Infosys issuer release</x:v>
      </x:c>
      <x:c r="H18" s="14" t="str">
        <x:v>https://www.screener.in/company/INFY/consolidated/</x:v>
      </x:c>
    </x:row>
    <x:row r="19">
      <x:c r="A19" s="14" t="str">
        <x:v>Infosys</x:v>
      </x:c>
      <x:c r="B19" s="14" t="str">
        <x:v>Sep-23</x:v>
      </x:c>
      <x:c r="C19" s="14" t="str">
        <x:v>Q2 FY24</x:v>
      </x:c>
      <x:c r="D19" s="26" t="n">
        <x:v>38994</x:v>
      </x:c>
      <x:c r="E19" s="26" t="n">
        <x:v>9440</x:v>
      </x:c>
      <x:c r="F19" s="26" t="n">
        <x:v>6215</x:v>
      </x:c>
      <x:c r="G19" s="14" t="str">
        <x:v>Secondary structured extraction (Screener); Q1 FY27 cross-checked to Infosys issuer release</x:v>
      </x:c>
      <x:c r="H19" s="14" t="str">
        <x:v>https://www.screener.in/company/INFY/consolidated/</x:v>
      </x:c>
    </x:row>
    <x:row r="20">
      <x:c r="A20" s="14" t="str">
        <x:v>Infosys</x:v>
      </x:c>
      <x:c r="B20" s="14" t="str">
        <x:v>Dec-23</x:v>
      </x:c>
      <x:c r="C20" s="14" t="str">
        <x:v>Q3 FY24</x:v>
      </x:c>
      <x:c r="D20" s="26" t="n">
        <x:v>38821</x:v>
      </x:c>
      <x:c r="E20" s="26" t="n">
        <x:v>9137</x:v>
      </x:c>
      <x:c r="F20" s="26" t="n">
        <x:v>6113</x:v>
      </x:c>
      <x:c r="G20" s="14" t="str">
        <x:v>Secondary structured extraction (Screener); Q1 FY27 cross-checked to Infosys issuer release</x:v>
      </x:c>
      <x:c r="H20" s="14" t="str">
        <x:v>https://www.screener.in/company/INFY/consolidated/</x:v>
      </x:c>
    </x:row>
    <x:row r="21">
      <x:c r="A21" s="14" t="str">
        <x:v>Infosys</x:v>
      </x:c>
      <x:c r="B21" s="14" t="str">
        <x:v>Mar-24</x:v>
      </x:c>
      <x:c r="C21" s="14" t="str">
        <x:v>Q4 FY24</x:v>
      </x:c>
      <x:c r="D21" s="26" t="n">
        <x:v>37923</x:v>
      </x:c>
      <x:c r="E21" s="26" t="n">
        <x:v>8784</x:v>
      </x:c>
      <x:c r="F21" s="26" t="n">
        <x:v>7975</x:v>
      </x:c>
      <x:c r="G21" s="14" t="str">
        <x:v>Secondary structured extraction (Screener); Q1 FY27 cross-checked to Infosys issuer release</x:v>
      </x:c>
      <x:c r="H21" s="14" t="str">
        <x:v>https://www.screener.in/company/INFY/consolidated/</x:v>
      </x:c>
    </x:row>
    <x:row r="22">
      <x:c r="A22" s="14" t="str">
        <x:v>Infosys</x:v>
      </x:c>
      <x:c r="B22" s="14" t="str">
        <x:v>Jun-24</x:v>
      </x:c>
      <x:c r="C22" s="14" t="str">
        <x:v>Q1 FY25</x:v>
      </x:c>
      <x:c r="D22" s="26" t="n">
        <x:v>39315</x:v>
      </x:c>
      <x:c r="E22" s="26" t="n">
        <x:v>9437</x:v>
      </x:c>
      <x:c r="F22" s="26" t="n">
        <x:v>6374</x:v>
      </x:c>
      <x:c r="G22" s="14" t="str">
        <x:v>Secondary structured extraction (Screener); Q1 FY27 cross-checked to Infosys issuer release</x:v>
      </x:c>
      <x:c r="H22" s="14" t="str">
        <x:v>https://www.screener.in/company/INFY/consolidated/</x:v>
      </x:c>
    </x:row>
    <x:row r="23">
      <x:c r="A23" s="14" t="str">
        <x:v>Infosys</x:v>
      </x:c>
      <x:c r="B23" s="14" t="str">
        <x:v>Sep-24</x:v>
      </x:c>
      <x:c r="C23" s="14" t="str">
        <x:v>Q2 FY25</x:v>
      </x:c>
      <x:c r="D23" s="26" t="n">
        <x:v>40986</x:v>
      </x:c>
      <x:c r="E23" s="26" t="n">
        <x:v>9809</x:v>
      </x:c>
      <x:c r="F23" s="26" t="n">
        <x:v>6516</x:v>
      </x:c>
      <x:c r="G23" s="14" t="str">
        <x:v>Secondary structured extraction (Screener); Q1 FY27 cross-checked to Infosys issuer release</x:v>
      </x:c>
      <x:c r="H23" s="14" t="str">
        <x:v>https://www.screener.in/company/INFY/consolidated/</x:v>
      </x:c>
    </x:row>
    <x:row r="24">
      <x:c r="A24" s="14" t="str">
        <x:v>Infosys</x:v>
      </x:c>
      <x:c r="B24" s="14" t="str">
        <x:v>Dec-24</x:v>
      </x:c>
      <x:c r="C24" s="14" t="str">
        <x:v>Q3 FY25</x:v>
      </x:c>
      <x:c r="D24" s="26" t="n">
        <x:v>41764</x:v>
      </x:c>
      <x:c r="E24" s="26" t="n">
        <x:v>10115</x:v>
      </x:c>
      <x:c r="F24" s="26" t="n">
        <x:v>6822</x:v>
      </x:c>
      <x:c r="G24" s="14" t="str">
        <x:v>Secondary structured extraction (Screener); Q1 FY27 cross-checked to Infosys issuer release</x:v>
      </x:c>
      <x:c r="H24" s="14" t="str">
        <x:v>https://www.screener.in/company/INFY/consolidated/</x:v>
      </x:c>
    </x:row>
    <x:row r="25">
      <x:c r="A25" s="14" t="str">
        <x:v>Infosys</x:v>
      </x:c>
      <x:c r="B25" s="14" t="str">
        <x:v>Mar-25</x:v>
      </x:c>
      <x:c r="C25" s="14" t="str">
        <x:v>Q4 FY25</x:v>
      </x:c>
      <x:c r="D25" s="26" t="n">
        <x:v>40925</x:v>
      </x:c>
      <x:c r="E25" s="26" t="n">
        <x:v>9874</x:v>
      </x:c>
      <x:c r="F25" s="26" t="n">
        <x:v>7038</x:v>
      </x:c>
      <x:c r="G25" s="14" t="str">
        <x:v>Secondary structured extraction (Screener); Q1 FY27 cross-checked to Infosys issuer release</x:v>
      </x:c>
      <x:c r="H25" s="14" t="str">
        <x:v>https://www.screener.in/company/INFY/consolidated/</x:v>
      </x:c>
    </x:row>
    <x:row r="26">
      <x:c r="A26" s="14" t="str">
        <x:v>Infosys</x:v>
      </x:c>
      <x:c r="B26" s="14" t="str">
        <x:v>Jun-25</x:v>
      </x:c>
      <x:c r="C26" s="14" t="str">
        <x:v>Q1 FY26</x:v>
      </x:c>
      <x:c r="D26" s="26" t="n">
        <x:v>42279</x:v>
      </x:c>
      <x:c r="E26" s="26" t="n">
        <x:v>9943</x:v>
      </x:c>
      <x:c r="F26" s="26" t="n">
        <x:v>6924</x:v>
      </x:c>
      <x:c r="G26" s="14" t="str">
        <x:v>Secondary structured extraction (Screener); Q1 FY27 cross-checked to Infosys issuer release</x:v>
      </x:c>
      <x:c r="H26" s="14" t="str">
        <x:v>https://www.screener.in/company/INFY/consolidated/</x:v>
      </x:c>
    </x:row>
    <x:row r="27">
      <x:c r="A27" s="14" t="str">
        <x:v>Infosys</x:v>
      </x:c>
      <x:c r="B27" s="14" t="str">
        <x:v>Sep-25</x:v>
      </x:c>
      <x:c r="C27" s="14" t="str">
        <x:v>Q2 FY26</x:v>
      </x:c>
      <x:c r="D27" s="26" t="n">
        <x:v>44490</x:v>
      </x:c>
      <x:c r="E27" s="26" t="n">
        <x:v>10535</x:v>
      </x:c>
      <x:c r="F27" s="26" t="n">
        <x:v>7375</x:v>
      </x:c>
      <x:c r="G27" s="14" t="str">
        <x:v>Secondary structured extraction (Screener); Q1 FY27 cross-checked to Infosys issuer release</x:v>
      </x:c>
      <x:c r="H27" s="14" t="str">
        <x:v>https://www.screener.in/company/INFY/consolidated/</x:v>
      </x:c>
    </x:row>
    <x:row r="28">
      <x:c r="A28" s="14" t="str">
        <x:v>Infosys</x:v>
      </x:c>
      <x:c r="B28" s="14" t="str">
        <x:v>Dec-25</x:v>
      </x:c>
      <x:c r="C28" s="14" t="str">
        <x:v>Q3 FY26</x:v>
      </x:c>
      <x:c r="D28" s="26" t="n">
        <x:v>45479</x:v>
      </x:c>
      <x:c r="E28" s="26" t="n">
        <x:v>10634</x:v>
      </x:c>
      <x:c r="F28" s="26" t="n">
        <x:v>6666</x:v>
      </x:c>
      <x:c r="G28" s="14" t="str">
        <x:v>Secondary structured extraction (Screener); Q1 FY27 cross-checked to Infosys issuer release</x:v>
      </x:c>
      <x:c r="H28" s="14" t="str">
        <x:v>https://www.screener.in/company/INFY/consolidated/</x:v>
      </x:c>
    </x:row>
    <x:row r="29">
      <x:c r="A29" s="14" t="str">
        <x:v>Infosys</x:v>
      </x:c>
      <x:c r="B29" s="14" t="str">
        <x:v>Mar-26</x:v>
      </x:c>
      <x:c r="C29" s="14" t="str">
        <x:v>Q4 FY26</x:v>
      </x:c>
      <x:c r="D29" s="26" t="n">
        <x:v>46402</x:v>
      </x:c>
      <x:c r="E29" s="26" t="n">
        <x:v>11167</x:v>
      </x:c>
      <x:c r="F29" s="26" t="n">
        <x:v>8509</x:v>
      </x:c>
      <x:c r="G29" s="14" t="str">
        <x:v>Secondary structured extraction (Screener); Q1 FY27 cross-checked to Infosys issuer release</x:v>
      </x:c>
      <x:c r="H29" s="14" t="str">
        <x:v>https://www.screener.in/company/INFY/consolidated/</x:v>
      </x:c>
    </x:row>
    <x:row r="30">
      <x:c r="A30" s="14" t="str">
        <x:v>Infosys</x:v>
      </x:c>
      <x:c r="B30" s="14" t="str">
        <x:v>Jun-26</x:v>
      </x:c>
      <x:c r="C30" s="14" t="str">
        <x:v>Q1 FY27</x:v>
      </x:c>
      <x:c r="D30" s="26" t="n">
        <x:v>48211</x:v>
      </x:c>
      <x:c r="E30" s="26" t="n">
        <x:v>11409</x:v>
      </x:c>
      <x:c r="F30" s="26" t="n">
        <x:v>7775</x:v>
      </x:c>
      <x:c r="G30" s="14" t="str">
        <x:v>Secondary structured extraction (Screener); Q1 FY27 cross-checked to Infosys issuer release</x:v>
      </x:c>
      <x:c r="H30" s="14" t="str">
        <x:v>https://www.screener.in/company/INFY/consolidated/</x:v>
      </x:c>
    </x:row>
    <x:row r="31">
      <x:c r="A31" s="14" t="str">
        <x:v>HCLTech</x:v>
      </x:c>
      <x:c r="B31" s="14" t="str">
        <x:v>Jun-23</x:v>
      </x:c>
      <x:c r="C31" s="14" t="str">
        <x:v>Q1 FY24</x:v>
      </x:c>
      <x:c r="D31" s="26" t="n">
        <x:v>26296</x:v>
      </x:c>
      <x:c r="E31" s="26" t="n">
        <x:v>5365</x:v>
      </x:c>
      <x:c r="F31" s="26" t="n">
        <x:v>3531</x:v>
      </x:c>
      <x:c r="G31" s="14" t="str">
        <x:v>Secondary structured extraction (Screener); Q1 FY27 cross-checked to HCLTech issuer release</x:v>
      </x:c>
      <x:c r="H31" s="14" t="str">
        <x:v>https://www.screener.in/company/HCLTECH/consolidated/</x:v>
      </x:c>
    </x:row>
    <x:row r="32">
      <x:c r="A32" s="14" t="str">
        <x:v>HCLTech</x:v>
      </x:c>
      <x:c r="B32" s="14" t="str">
        <x:v>Sep-23</x:v>
      </x:c>
      <x:c r="C32" s="14" t="str">
        <x:v>Q2 FY24</x:v>
      </x:c>
      <x:c r="D32" s="26" t="n">
        <x:v>26672</x:v>
      </x:c>
      <x:c r="E32" s="26" t="n">
        <x:v>5929</x:v>
      </x:c>
      <x:c r="F32" s="26" t="n">
        <x:v>3833</x:v>
      </x:c>
      <x:c r="G32" s="14" t="str">
        <x:v>Secondary structured extraction (Screener); Q1 FY27 cross-checked to HCLTech issuer release</x:v>
      </x:c>
      <x:c r="H32" s="14" t="str">
        <x:v>https://www.screener.in/company/HCLTECH/consolidated/</x:v>
      </x:c>
    </x:row>
    <x:row r="33">
      <x:c r="A33" s="14" t="str">
        <x:v>HCLTech</x:v>
      </x:c>
      <x:c r="B33" s="14" t="str">
        <x:v>Dec-23</x:v>
      </x:c>
      <x:c r="C33" s="14" t="str">
        <x:v>Q3 FY24</x:v>
      </x:c>
      <x:c r="D33" s="26" t="n">
        <x:v>28446</x:v>
      </x:c>
      <x:c r="E33" s="26" t="n">
        <x:v>6787</x:v>
      </x:c>
      <x:c r="F33" s="26" t="n">
        <x:v>4351</x:v>
      </x:c>
      <x:c r="G33" s="14" t="str">
        <x:v>Secondary structured extraction (Screener); Q1 FY27 cross-checked to HCLTech issuer release</x:v>
      </x:c>
      <x:c r="H33" s="14" t="str">
        <x:v>https://www.screener.in/company/HCLTECH/consolidated/</x:v>
      </x:c>
    </x:row>
    <x:row r="34">
      <x:c r="A34" s="14" t="str">
        <x:v>HCLTech</x:v>
      </x:c>
      <x:c r="B34" s="14" t="str">
        <x:v>Mar-24</x:v>
      </x:c>
      <x:c r="C34" s="14" t="str">
        <x:v>Q4 FY24</x:v>
      </x:c>
      <x:c r="D34" s="26" t="n">
        <x:v>28499</x:v>
      </x:c>
      <x:c r="E34" s="26" t="n">
        <x:v>6117</x:v>
      </x:c>
      <x:c r="F34" s="26" t="n">
        <x:v>3995</x:v>
      </x:c>
      <x:c r="G34" s="14" t="str">
        <x:v>Secondary structured extraction (Screener); Q1 FY27 cross-checked to HCLTech issuer release</x:v>
      </x:c>
      <x:c r="H34" s="14" t="str">
        <x:v>https://www.screener.in/company/HCLTECH/consolidated/</x:v>
      </x:c>
    </x:row>
    <x:row r="35">
      <x:c r="A35" s="14" t="str">
        <x:v>HCLTech</x:v>
      </x:c>
      <x:c r="B35" s="14" t="str">
        <x:v>Jun-24</x:v>
      </x:c>
      <x:c r="C35" s="14" t="str">
        <x:v>Q1 FY25</x:v>
      </x:c>
      <x:c r="D35" s="26" t="n">
        <x:v>28057</x:v>
      </x:c>
      <x:c r="E35" s="26" t="n">
        <x:v>5793</x:v>
      </x:c>
      <x:c r="F35" s="26" t="n">
        <x:v>4259</x:v>
      </x:c>
      <x:c r="G35" s="14" t="str">
        <x:v>Secondary structured extraction (Screener); Q1 FY27 cross-checked to HCLTech issuer release</x:v>
      </x:c>
      <x:c r="H35" s="14" t="str">
        <x:v>https://www.screener.in/company/HCLTECH/consolidated/</x:v>
      </x:c>
    </x:row>
    <x:row r="36">
      <x:c r="A36" s="14" t="str">
        <x:v>HCLTech</x:v>
      </x:c>
      <x:c r="B36" s="14" t="str">
        <x:v>Sep-24</x:v>
      </x:c>
      <x:c r="C36" s="14" t="str">
        <x:v>Q2 FY25</x:v>
      </x:c>
      <x:c r="D36" s="26" t="n">
        <x:v>28862</x:v>
      </x:c>
      <x:c r="E36" s="26" t="n">
        <x:v>6369</x:v>
      </x:c>
      <x:c r="F36" s="26" t="n">
        <x:v>4237</x:v>
      </x:c>
      <x:c r="G36" s="14" t="str">
        <x:v>Secondary structured extraction (Screener); Q1 FY27 cross-checked to HCLTech issuer release</x:v>
      </x:c>
      <x:c r="H36" s="14" t="str">
        <x:v>https://www.screener.in/company/HCLTECH/consolidated/</x:v>
      </x:c>
    </x:row>
    <x:row r="37">
      <x:c r="A37" s="14" t="str">
        <x:v>HCLTech</x:v>
      </x:c>
      <x:c r="B37" s="14" t="str">
        <x:v>Dec-24</x:v>
      </x:c>
      <x:c r="C37" s="14" t="str">
        <x:v>Q3 FY25</x:v>
      </x:c>
      <x:c r="D37" s="26" t="n">
        <x:v>29890</x:v>
      </x:c>
      <x:c r="E37" s="26" t="n">
        <x:v>6860</x:v>
      </x:c>
      <x:c r="F37" s="26" t="n">
        <x:v>4594</x:v>
      </x:c>
      <x:c r="G37" s="14" t="str">
        <x:v>Secondary structured extraction (Screener); Q1 FY27 cross-checked to HCLTech issuer release</x:v>
      </x:c>
      <x:c r="H37" s="14" t="str">
        <x:v>https://www.screener.in/company/HCLTECH/consolidated/</x:v>
      </x:c>
    </x:row>
    <x:row r="38">
      <x:c r="A38" s="14" t="str">
        <x:v>HCLTech</x:v>
      </x:c>
      <x:c r="B38" s="14" t="str">
        <x:v>Mar-25</x:v>
      </x:c>
      <x:c r="C38" s="14" t="str">
        <x:v>Q4 FY25</x:v>
      </x:c>
      <x:c r="D38" s="26" t="n">
        <x:v>30246</x:v>
      </x:c>
      <x:c r="E38" s="26" t="n">
        <x:v>6482</x:v>
      </x:c>
      <x:c r="F38" s="26" t="n">
        <x:v>4309</x:v>
      </x:c>
      <x:c r="G38" s="14" t="str">
        <x:v>Secondary structured extraction (Screener); Q1 FY27 cross-checked to HCLTech issuer release</x:v>
      </x:c>
      <x:c r="H38" s="14" t="str">
        <x:v>https://www.screener.in/company/HCLTECH/consolidated/</x:v>
      </x:c>
    </x:row>
    <x:row r="39">
      <x:c r="A39" s="14" t="str">
        <x:v>HCLTech</x:v>
      </x:c>
      <x:c r="B39" s="14" t="str">
        <x:v>Jun-25</x:v>
      </x:c>
      <x:c r="C39" s="14" t="str">
        <x:v>Q1 FY26</x:v>
      </x:c>
      <x:c r="D39" s="26" t="n">
        <x:v>30349</x:v>
      </x:c>
      <x:c r="E39" s="26" t="n">
        <x:v>6035</x:v>
      </x:c>
      <x:c r="F39" s="26" t="n">
        <x:v>3844</x:v>
      </x:c>
      <x:c r="G39" s="14" t="str">
        <x:v>Secondary structured extraction (Screener); Q1 FY27 cross-checked to HCLTech issuer release</x:v>
      </x:c>
      <x:c r="H39" s="14" t="str">
        <x:v>https://www.screener.in/company/HCLTECH/consolidated/</x:v>
      </x:c>
    </x:row>
    <x:row r="40">
      <x:c r="A40" s="14" t="str">
        <x:v>HCLTech</x:v>
      </x:c>
      <x:c r="B40" s="14" t="str">
        <x:v>Sep-25</x:v>
      </x:c>
      <x:c r="C40" s="14" t="str">
        <x:v>Q2 FY26</x:v>
      </x:c>
      <x:c r="D40" s="26" t="n">
        <x:v>31942</x:v>
      </x:c>
      <x:c r="E40" s="26" t="n">
        <x:v>6545</x:v>
      </x:c>
      <x:c r="F40" s="26" t="n">
        <x:v>4236</x:v>
      </x:c>
      <x:c r="G40" s="14" t="str">
        <x:v>Secondary structured extraction (Screener); Q1 FY27 cross-checked to HCLTech issuer release</x:v>
      </x:c>
      <x:c r="H40" s="14" t="str">
        <x:v>https://www.screener.in/company/HCLTECH/consolidated/</x:v>
      </x:c>
    </x:row>
    <x:row r="41">
      <x:c r="A41" s="14" t="str">
        <x:v>HCLTech</x:v>
      </x:c>
      <x:c r="B41" s="14" t="str">
        <x:v>Dec-25</x:v>
      </x:c>
      <x:c r="C41" s="14" t="str">
        <x:v>Q3 FY26</x:v>
      </x:c>
      <x:c r="D41" s="26" t="n">
        <x:v>33872</x:v>
      </x:c>
      <x:c r="E41" s="26" t="n">
        <x:v>7412</x:v>
      </x:c>
      <x:c r="F41" s="26" t="n">
        <x:v>4082</x:v>
      </x:c>
      <x:c r="G41" s="14" t="str">
        <x:v>Secondary structured extraction (Screener); Q1 FY27 cross-checked to HCLTech issuer release</x:v>
      </x:c>
      <x:c r="H41" s="14" t="str">
        <x:v>https://www.screener.in/company/HCLTECH/consolidated/</x:v>
      </x:c>
    </x:row>
    <x:row r="42">
      <x:c r="A42" s="14" t="str">
        <x:v>HCLTech</x:v>
      </x:c>
      <x:c r="B42" s="14" t="str">
        <x:v>Mar-26</x:v>
      </x:c>
      <x:c r="C42" s="14" t="str">
        <x:v>Q4 FY26</x:v>
      </x:c>
      <x:c r="D42" s="26" t="n">
        <x:v>33981</x:v>
      </x:c>
      <x:c r="E42" s="26" t="n">
        <x:v>6712</x:v>
      </x:c>
      <x:c r="F42" s="26" t="n">
        <x:v>4490</x:v>
      </x:c>
      <x:c r="G42" s="14" t="str">
        <x:v>Secondary structured extraction (Screener); Q1 FY27 cross-checked to HCLTech issuer release</x:v>
      </x:c>
      <x:c r="H42" s="14" t="str">
        <x:v>https://www.screener.in/company/HCLTECH/consolidated/</x:v>
      </x:c>
    </x:row>
    <x:row r="43">
      <x:c r="A43" s="14" t="str">
        <x:v>HCLTech</x:v>
      </x:c>
      <x:c r="B43" s="14" t="str">
        <x:v>Jun-26</x:v>
      </x:c>
      <x:c r="C43" s="14" t="str">
        <x:v>Q1 FY27</x:v>
      </x:c>
      <x:c r="D43" s="26" t="n">
        <x:v>34579</x:v>
      </x:c>
      <x:c r="E43" s="26" t="n">
        <x:v>6870</x:v>
      </x:c>
      <x:c r="F43" s="26" t="n">
        <x:v>4626</x:v>
      </x:c>
      <x:c r="G43" s="14" t="str">
        <x:v>Secondary structured extraction (Screener); Q1 FY27 cross-checked to HCLTech issuer release</x:v>
      </x:c>
      <x:c r="H43" s="14" t="str">
        <x:v>https://www.screener.in/company/HCLTECH/consolidated/</x:v>
      </x:c>
    </x:row>
    <x:row r="44">
      <x:c r="A44" s="14" t="str">
        <x:v>Wipro</x:v>
      </x:c>
      <x:c r="B44" s="14" t="str">
        <x:v>Jun-23</x:v>
      </x:c>
      <x:c r="C44" s="14" t="str">
        <x:v>Q1 FY24</x:v>
      </x:c>
      <x:c r="D44" s="26" t="n">
        <x:v>22831</x:v>
      </x:c>
      <x:c r="E44" s="26" t="n">
        <x:v>4204</x:v>
      </x:c>
      <x:c r="F44" s="26" t="n">
        <x:v>2886</x:v>
      </x:c>
      <x:c r="G44" s="14" t="str">
        <x:v>Secondary structured extraction (Screener); Q1 FY27 cross-checked to Wipro issuer release</x:v>
      </x:c>
      <x:c r="H44" s="14" t="str">
        <x:v>https://www.screener.in/company/WIPRO/consolidated/</x:v>
      </x:c>
    </x:row>
    <x:row r="45">
      <x:c r="A45" s="14" t="str">
        <x:v>Wipro</x:v>
      </x:c>
      <x:c r="B45" s="14" t="str">
        <x:v>Sep-23</x:v>
      </x:c>
      <x:c r="C45" s="14" t="str">
        <x:v>Q2 FY24</x:v>
      </x:c>
      <x:c r="D45" s="26" t="n">
        <x:v>22516</x:v>
      </x:c>
      <x:c r="E45" s="26" t="n">
        <x:v>3970</x:v>
      </x:c>
      <x:c r="F45" s="26" t="n">
        <x:v>2667</x:v>
      </x:c>
      <x:c r="G45" s="14" t="str">
        <x:v>Secondary structured extraction (Screener); Q1 FY27 cross-checked to Wipro issuer release</x:v>
      </x:c>
      <x:c r="H45" s="14" t="str">
        <x:v>https://www.screener.in/company/WIPRO/consolidated/</x:v>
      </x:c>
    </x:row>
    <x:row r="46">
      <x:c r="A46" s="14" t="str">
        <x:v>Wipro</x:v>
      </x:c>
      <x:c r="B46" s="14" t="str">
        <x:v>Dec-23</x:v>
      </x:c>
      <x:c r="C46" s="14" t="str">
        <x:v>Q3 FY24</x:v>
      </x:c>
      <x:c r="D46" s="26" t="n">
        <x:v>22205</x:v>
      </x:c>
      <x:c r="E46" s="26" t="n">
        <x:v>4198</x:v>
      </x:c>
      <x:c r="F46" s="26" t="n">
        <x:v>2701</x:v>
      </x:c>
      <x:c r="G46" s="14" t="str">
        <x:v>Secondary structured extraction (Screener); Q1 FY27 cross-checked to Wipro issuer release</x:v>
      </x:c>
      <x:c r="H46" s="14" t="str">
        <x:v>https://www.screener.in/company/WIPRO/consolidated/</x:v>
      </x:c>
    </x:row>
    <x:row r="47">
      <x:c r="A47" s="14" t="str">
        <x:v>Wipro</x:v>
      </x:c>
      <x:c r="B47" s="14" t="str">
        <x:v>Mar-24</x:v>
      </x:c>
      <x:c r="C47" s="14" t="str">
        <x:v>Q4 FY24</x:v>
      </x:c>
      <x:c r="D47" s="26" t="n">
        <x:v>22208</x:v>
      </x:c>
      <x:c r="E47" s="26" t="n">
        <x:v>4381</x:v>
      </x:c>
      <x:c r="F47" s="26" t="n">
        <x:v>2858</x:v>
      </x:c>
      <x:c r="G47" s="14" t="str">
        <x:v>Secondary structured extraction (Screener); Q1 FY27 cross-checked to Wipro issuer release</x:v>
      </x:c>
      <x:c r="H47" s="14" t="str">
        <x:v>https://www.screener.in/company/WIPRO/consolidated/</x:v>
      </x:c>
    </x:row>
    <x:row r="48">
      <x:c r="A48" s="14" t="str">
        <x:v>Wipro</x:v>
      </x:c>
      <x:c r="B48" s="14" t="str">
        <x:v>Jun-24</x:v>
      </x:c>
      <x:c r="C48" s="14" t="str">
        <x:v>Q1 FY25</x:v>
      </x:c>
      <x:c r="D48" s="26" t="n">
        <x:v>21964</x:v>
      </x:c>
      <x:c r="E48" s="26" t="n">
        <x:v>4350</x:v>
      </x:c>
      <x:c r="F48" s="26" t="n">
        <x:v>3037</x:v>
      </x:c>
      <x:c r="G48" s="14" t="str">
        <x:v>Secondary structured extraction (Screener); Q1 FY27 cross-checked to Wipro issuer release</x:v>
      </x:c>
      <x:c r="H48" s="14" t="str">
        <x:v>https://www.screener.in/company/WIPRO/consolidated/</x:v>
      </x:c>
    </x:row>
    <x:row r="49">
      <x:c r="A49" s="14" t="str">
        <x:v>Wipro</x:v>
      </x:c>
      <x:c r="B49" s="14" t="str">
        <x:v>Sep-24</x:v>
      </x:c>
      <x:c r="C49" s="14" t="str">
        <x:v>Q2 FY25</x:v>
      </x:c>
      <x:c r="D49" s="26" t="n">
        <x:v>22302</x:v>
      </x:c>
      <x:c r="E49" s="26" t="n">
        <x:v>4503</x:v>
      </x:c>
      <x:c r="F49" s="26" t="n">
        <x:v>3227</x:v>
      </x:c>
      <x:c r="G49" s="14" t="str">
        <x:v>Secondary structured extraction (Screener); Q1 FY27 cross-checked to Wipro issuer release</x:v>
      </x:c>
      <x:c r="H49" s="14" t="str">
        <x:v>https://www.screener.in/company/WIPRO/consolidated/</x:v>
      </x:c>
    </x:row>
    <x:row r="50">
      <x:c r="A50" s="14" t="str">
        <x:v>Wipro</x:v>
      </x:c>
      <x:c r="B50" s="14" t="str">
        <x:v>Dec-24</x:v>
      </x:c>
      <x:c r="C50" s="14" t="str">
        <x:v>Q3 FY25</x:v>
      </x:c>
      <x:c r="D50" s="26" t="n">
        <x:v>22319</x:v>
      </x:c>
      <x:c r="E50" s="26" t="n">
        <x:v>4540</x:v>
      </x:c>
      <x:c r="F50" s="26" t="n">
        <x:v>3367</x:v>
      </x:c>
      <x:c r="G50" s="14" t="str">
        <x:v>Secondary structured extraction (Screener); Q1 FY27 cross-checked to Wipro issuer release</x:v>
      </x:c>
      <x:c r="H50" s="14" t="str">
        <x:v>https://www.screener.in/company/WIPRO/consolidated/</x:v>
      </x:c>
    </x:row>
    <x:row r="51">
      <x:c r="A51" s="14" t="str">
        <x:v>Wipro</x:v>
      </x:c>
      <x:c r="B51" s="14" t="str">
        <x:v>Mar-25</x:v>
      </x:c>
      <x:c r="C51" s="14" t="str">
        <x:v>Q4 FY25</x:v>
      </x:c>
      <x:c r="D51" s="26" t="n">
        <x:v>22504</x:v>
      </x:c>
      <x:c r="E51" s="26" t="n">
        <x:v>4624</x:v>
      </x:c>
      <x:c r="F51" s="26" t="n">
        <x:v>3588</x:v>
      </x:c>
      <x:c r="G51" s="14" t="str">
        <x:v>Secondary structured extraction (Screener); Q1 FY27 cross-checked to Wipro issuer release</x:v>
      </x:c>
      <x:c r="H51" s="14" t="str">
        <x:v>https://www.screener.in/company/WIPRO/consolidated/</x:v>
      </x:c>
    </x:row>
    <x:row r="52">
      <x:c r="A52" s="14" t="str">
        <x:v>Wipro</x:v>
      </x:c>
      <x:c r="B52" s="14" t="str">
        <x:v>Jun-25</x:v>
      </x:c>
      <x:c r="C52" s="14" t="str">
        <x:v>Q1 FY26</x:v>
      </x:c>
      <x:c r="D52" s="26" t="n">
        <x:v>22135</x:v>
      </x:c>
      <x:c r="E52" s="26" t="n">
        <x:v>4233</x:v>
      </x:c>
      <x:c r="F52" s="26" t="n">
        <x:v>3336</x:v>
      </x:c>
      <x:c r="G52" s="14" t="str">
        <x:v>Secondary structured extraction (Screener); Q1 FY27 cross-checked to Wipro issuer release</x:v>
      </x:c>
      <x:c r="H52" s="14" t="str">
        <x:v>https://www.screener.in/company/WIPRO/consolidated/</x:v>
      </x:c>
    </x:row>
    <x:row r="53">
      <x:c r="A53" s="14" t="str">
        <x:v>Wipro</x:v>
      </x:c>
      <x:c r="B53" s="14" t="str">
        <x:v>Sep-25</x:v>
      </x:c>
      <x:c r="C53" s="14" t="str">
        <x:v>Q2 FY26</x:v>
      </x:c>
      <x:c r="D53" s="26" t="n">
        <x:v>22697</x:v>
      </x:c>
      <x:c r="E53" s="26" t="n">
        <x:v>4372</x:v>
      </x:c>
      <x:c r="F53" s="26" t="n">
        <x:v>3262</x:v>
      </x:c>
      <x:c r="G53" s="14" t="str">
        <x:v>Secondary structured extraction (Screener); Q1 FY27 cross-checked to Wipro issuer release</x:v>
      </x:c>
      <x:c r="H53" s="14" t="str">
        <x:v>https://www.screener.in/company/WIPRO/consolidated/</x:v>
      </x:c>
    </x:row>
    <x:row r="54">
      <x:c r="A54" s="14" t="str">
        <x:v>Wipro</x:v>
      </x:c>
      <x:c r="B54" s="14" t="str">
        <x:v>Dec-25</x:v>
      </x:c>
      <x:c r="C54" s="14" t="str">
        <x:v>Q3 FY26</x:v>
      </x:c>
      <x:c r="D54" s="26" t="n">
        <x:v>23556</x:v>
      </x:c>
      <x:c r="E54" s="26" t="n">
        <x:v>4296</x:v>
      </x:c>
      <x:c r="F54" s="26" t="n">
        <x:v>3145</x:v>
      </x:c>
      <x:c r="G54" s="14" t="str">
        <x:v>Secondary structured extraction (Screener); Q1 FY27 cross-checked to Wipro issuer release</x:v>
      </x:c>
      <x:c r="H54" s="14" t="str">
        <x:v>https://www.screener.in/company/WIPRO/consolidated/</x:v>
      </x:c>
    </x:row>
    <x:row r="55">
      <x:c r="A55" s="14" t="str">
        <x:v>Wipro</x:v>
      </x:c>
      <x:c r="B55" s="14" t="str">
        <x:v>Mar-26</x:v>
      </x:c>
      <x:c r="C55" s="14" t="str">
        <x:v>Q4 FY26</x:v>
      </x:c>
      <x:c r="D55" s="26" t="n">
        <x:v>24236</x:v>
      </x:c>
      <x:c r="E55" s="26" t="n">
        <x:v>4909</x:v>
      </x:c>
      <x:c r="F55" s="26" t="n">
        <x:v>3522</x:v>
      </x:c>
      <x:c r="G55" s="14" t="str">
        <x:v>Secondary structured extraction (Screener); Q1 FY27 cross-checked to Wipro issuer release</x:v>
      </x:c>
      <x:c r="H55" s="14" t="str">
        <x:v>https://www.screener.in/company/WIPRO/consolidated/</x:v>
      </x:c>
    </x:row>
    <x:row r="56">
      <x:c r="A56" s="14" t="str">
        <x:v>Wipro</x:v>
      </x:c>
      <x:c r="B56" s="14" t="str">
        <x:v>Jun-26</x:v>
      </x:c>
      <x:c r="C56" s="14" t="str">
        <x:v>Q1 FY27</x:v>
      </x:c>
      <x:c r="D56" s="26" t="n">
        <x:v>24479</x:v>
      </x:c>
      <x:c r="E56" s="26" t="n">
        <x:v>4633</x:v>
      </x:c>
      <x:c r="F56" s="26" t="n">
        <x:v>3356</x:v>
      </x:c>
      <x:c r="G56" s="14" t="str">
        <x:v>Secondary structured extraction (Screener); Q1 FY27 cross-checked to Wipro issuer release</x:v>
      </x:c>
      <x:c r="H56" s="14" t="str">
        <x:v>https://www.screener.in/company/WIPRO/consolidated/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ec8549cbe3b4b4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23" hidden="0" customWidth="1"/>
    <x:col min="6" max="6" width="20" hidden="0" customWidth="1"/>
    <x:col min="7" max="7" width="22" hidden="0" customWidth="1"/>
    <x:col min="8" max="8" width="22" hidden="0" customWidth="1"/>
    <x:col min="9" max="9" width="20" hidden="0" customWidth="1"/>
    <x:col min="10" max="10" width="16" hidden="0" customWidth="1"/>
    <x:col min="11" max="11" width="12" hidden="0" customWidth="1"/>
    <x:col min="12" max="12" width="38" hidden="0" customWidth="1"/>
  </x:cols>
  <x:sheetData>
    <x:row r="1" ht="26" customHeight="1">
      <x:c r="A1" s="4" t="str">
        <x:v>Cleaned &amp; Derived Quarterly Dataset</x:v>
      </x:c>
    </x:row>
    <x:row r="2">
      <x:c r="A2" s="9" t="str">
        <x:v>Formula-linked to Raw_Quarterly; derived fields are formula-driven and ready for Week 3/4.</x:v>
      </x:c>
    </x:row>
    <x:row r="4">
      <x:c r="A4" s="19" t="str">
        <x:v>Company</x:v>
      </x:c>
      <x:c r="B4" s="19" t="str">
        <x:v>Period End</x:v>
      </x:c>
      <x:c r="C4" s="19" t="str">
        <x:v>Fiscal Quarter</x:v>
      </x:c>
      <x:c r="D4" s="19" t="str">
        <x:v>Revenue (INR Cr)</x:v>
      </x:c>
      <x:c r="E4" s="19" t="str">
        <x:v>Operating Profit (INR Cr)</x:v>
      </x:c>
      <x:c r="F4" s="19" t="str">
        <x:v>Net Profit (INR Cr)</x:v>
      </x:c>
      <x:c r="G4" s="19" t="str">
        <x:v>QoQ Revenue Growth (%)</x:v>
      </x:c>
      <x:c r="H4" s="19" t="str">
        <x:v>YoY Revenue Growth (%)</x:v>
      </x:c>
      <x:c r="I4" s="19" t="str">
        <x:v>Operating Margin (%)</x:v>
      </x:c>
      <x:c r="J4" s="19" t="str">
        <x:v>Net Margin (%)</x:v>
      </x:c>
      <x:c r="K4" s="19" t="str">
        <x:v>Unit</x:v>
      </x:c>
      <x:c r="L4" s="19" t="str">
        <x:v>Data Status</x:v>
      </x:c>
    </x:row>
    <x:row r="5">
      <x:c r="A5" s="38" t="str">
        <x:f>Raw_Quarterly!A5</x:f>
        <x:v>TCS</x:v>
      </x:c>
      <x:c r="B5" s="38" t="str">
        <x:f>Raw_Quarterly!B5</x:f>
        <x:v>Jun-23</x:v>
      </x:c>
      <x:c r="C5" s="38" t="str">
        <x:f>Raw_Quarterly!C5</x:f>
        <x:v>Q1 FY24</x:v>
      </x:c>
      <x:c r="D5" s="39" t="n">
        <x:f>Raw_Quarterly!D5</x:f>
        <x:v>59381</x:v>
      </x:c>
      <x:c r="E5" s="39" t="n">
        <x:f>Raw_Quarterly!E5</x:f>
        <x:v>14998</x:v>
      </x:c>
      <x:c r="F5" s="39" t="n">
        <x:f>Raw_Quarterly!F5</x:f>
        <x:v>11120</x:v>
      </x:c>
      <x:c r="G5" s="40" t="str">
        <x:f>""</x:f>
      </x:c>
      <x:c r="H5" s="40" t="str">
        <x:f>""</x:f>
      </x:c>
      <x:c r="I5" s="40" t="n">
        <x:f>IFERROR(E5/D5,"")</x:f>
        <x:v>0.25257237163402435</x:v>
      </x:c>
      <x:c r="J5" s="40" t="n">
        <x:f>IFERROR(F5/D5,"")</x:f>
        <x:v>0.18726528687627356</x:v>
      </x:c>
      <x:c r="K5" s="41" t="str">
        <x:f>"INR Cr"</x:f>
        <x:v>INR Cr</x:v>
      </x:c>
      <x:c r="L5" s="41" t="str">
        <x:f>IF(C5="Q1 FY27","Q1 FY27 standardized; issuer cross-check completed","Historical standardized; secondary extraction")</x:f>
        <x:v>Historical standardized; secondary extraction</x:v>
      </x:c>
    </x:row>
    <x:row r="6">
      <x:c r="A6" s="38" t="str">
        <x:f>Raw_Quarterly!A6</x:f>
        <x:v>TCS</x:v>
      </x:c>
      <x:c r="B6" s="38" t="str">
        <x:f>Raw_Quarterly!B6</x:f>
        <x:v>Sep-23</x:v>
      </x:c>
      <x:c r="C6" s="38" t="str">
        <x:f>Raw_Quarterly!C6</x:f>
        <x:v>Q2 FY24</x:v>
      </x:c>
      <x:c r="D6" s="39" t="n">
        <x:f>Raw_Quarterly!D6</x:f>
        <x:v>59692</x:v>
      </x:c>
      <x:c r="E6" s="39" t="n">
        <x:f>Raw_Quarterly!E6</x:f>
        <x:v>15746</x:v>
      </x:c>
      <x:c r="F6" s="39" t="n">
        <x:f>Raw_Quarterly!F6</x:f>
        <x:v>11380</x:v>
      </x:c>
      <x:c r="G6" s="40" t="n">
        <x:f>IF(A6=A5,D6/D5-1,"")</x:f>
        <x:v>0.005237365487277046</x:v>
      </x:c>
      <x:c r="H6" s="40" t="str">
        <x:f>""</x:f>
      </x:c>
      <x:c r="I6" s="40" t="n">
        <x:f>IFERROR(E6/D6,"")</x:f>
        <x:v>0.26378744220331035</x:v>
      </x:c>
      <x:c r="J6" s="40" t="n">
        <x:f>IFERROR(F6/D6,"")</x:f>
        <x:v>0.19064531260470416</x:v>
      </x:c>
      <x:c r="K6" s="41" t="str">
        <x:f>"INR Cr"</x:f>
        <x:v>INR Cr</x:v>
      </x:c>
      <x:c r="L6" s="41" t="str">
        <x:f>IF(C6="Q1 FY27","Q1 FY27 standardized; issuer cross-check completed","Historical standardized; secondary extraction")</x:f>
        <x:v>Historical standardized; secondary extraction</x:v>
      </x:c>
    </x:row>
    <x:row r="7">
      <x:c r="A7" s="38" t="str">
        <x:f>Raw_Quarterly!A7</x:f>
        <x:v>TCS</x:v>
      </x:c>
      <x:c r="B7" s="38" t="str">
        <x:f>Raw_Quarterly!B7</x:f>
        <x:v>Dec-23</x:v>
      </x:c>
      <x:c r="C7" s="38" t="str">
        <x:f>Raw_Quarterly!C7</x:f>
        <x:v>Q3 FY24</x:v>
      </x:c>
      <x:c r="D7" s="39" t="n">
        <x:f>Raw_Quarterly!D7</x:f>
        <x:v>60583</x:v>
      </x:c>
      <x:c r="E7" s="39" t="n">
        <x:f>Raw_Quarterly!E7</x:f>
        <x:v>16388</x:v>
      </x:c>
      <x:c r="F7" s="39" t="n">
        <x:f>Raw_Quarterly!F7</x:f>
        <x:v>11097</x:v>
      </x:c>
      <x:c r="G7" s="40" t="n">
        <x:f>IF(A7=A6,D7/D6-1,"")</x:f>
        <x:v>0.014926623333110012</x:v>
      </x:c>
      <x:c r="H7" s="40" t="str">
        <x:f>""</x:f>
      </x:c>
      <x:c r="I7" s="40" t="n">
        <x:f>IFERROR(E7/D7,"")</x:f>
        <x:v>0.270504927124771</x:v>
      </x:c>
      <x:c r="J7" s="40" t="n">
        <x:f>IFERROR(F7/D7,"")</x:f>
        <x:v>0.18317019625967682</x:v>
      </x:c>
      <x:c r="K7" s="41" t="str">
        <x:f>"INR Cr"</x:f>
        <x:v>INR Cr</x:v>
      </x:c>
      <x:c r="L7" s="41" t="str">
        <x:f>IF(C7="Q1 FY27","Q1 FY27 standardized; issuer cross-check completed","Historical standardized; secondary extraction")</x:f>
        <x:v>Historical standardized; secondary extraction</x:v>
      </x:c>
    </x:row>
    <x:row r="8">
      <x:c r="A8" s="38" t="str">
        <x:f>Raw_Quarterly!A8</x:f>
        <x:v>TCS</x:v>
      </x:c>
      <x:c r="B8" s="38" t="str">
        <x:f>Raw_Quarterly!B8</x:f>
        <x:v>Mar-24</x:v>
      </x:c>
      <x:c r="C8" s="38" t="str">
        <x:f>Raw_Quarterly!C8</x:f>
        <x:v>Q4 FY24</x:v>
      </x:c>
      <x:c r="D8" s="39" t="n">
        <x:f>Raw_Quarterly!D8</x:f>
        <x:v>61237</x:v>
      </x:c>
      <x:c r="E8" s="39" t="n">
        <x:f>Raw_Quarterly!E8</x:f>
        <x:v>17164</x:v>
      </x:c>
      <x:c r="F8" s="39" t="n">
        <x:f>Raw_Quarterly!F8</x:f>
        <x:v>12502</x:v>
      </x:c>
      <x:c r="G8" s="40" t="n">
        <x:f>IF(A8=A7,D8/D7-1,"")</x:f>
        <x:v>0.01079510753841828</x:v>
      </x:c>
      <x:c r="H8" s="40" t="str">
        <x:f>""</x:f>
      </x:c>
      <x:c r="I8" s="40" t="n">
        <x:f>IFERROR(E8/D8,"")</x:f>
        <x:v>0.28028806113950716</x:v>
      </x:c>
      <x:c r="J8" s="40" t="n">
        <x:f>IFERROR(F8/D8,"")</x:f>
        <x:v>0.2041576171269004</x:v>
      </x:c>
      <x:c r="K8" s="41" t="str">
        <x:f>"INR Cr"</x:f>
        <x:v>INR Cr</x:v>
      </x:c>
      <x:c r="L8" s="41" t="str">
        <x:f>IF(C8="Q1 FY27","Q1 FY27 standardized; issuer cross-check completed","Historical standardized; secondary extraction")</x:f>
        <x:v>Historical standardized; secondary extraction</x:v>
      </x:c>
    </x:row>
    <x:row r="9">
      <x:c r="A9" s="38" t="str">
        <x:f>Raw_Quarterly!A9</x:f>
        <x:v>TCS</x:v>
      </x:c>
      <x:c r="B9" s="38" t="str">
        <x:f>Raw_Quarterly!B9</x:f>
        <x:v>Jun-24</x:v>
      </x:c>
      <x:c r="C9" s="38" t="str">
        <x:f>Raw_Quarterly!C9</x:f>
        <x:v>Q1 FY25</x:v>
      </x:c>
      <x:c r="D9" s="39" t="n">
        <x:f>Raw_Quarterly!D9</x:f>
        <x:v>62613</x:v>
      </x:c>
      <x:c r="E9" s="39" t="n">
        <x:f>Raw_Quarterly!E9</x:f>
        <x:v>16662</x:v>
      </x:c>
      <x:c r="F9" s="39" t="n">
        <x:f>Raw_Quarterly!F9</x:f>
        <x:v>12105</x:v>
      </x:c>
      <x:c r="G9" s="40" t="n">
        <x:f>IF(A9=A8,D9/D8-1,"")</x:f>
        <x:v>0.022470075281284085</x:v>
      </x:c>
      <x:c r="H9" s="40" t="n">
        <x:f>IF(A9=A5,D9/D5-1,"")</x:f>
        <x:v>0.054428184099291066</x:v>
      </x:c>
      <x:c r="I9" s="40" t="n">
        <x:f>IFERROR(E9/D9,"")</x:f>
        <x:v>0.266110871544248</x:v>
      </x:c>
      <x:c r="J9" s="40" t="n">
        <x:f>IFERROR(F9/D9,"")</x:f>
        <x:v>0.193330458530976</x:v>
      </x:c>
      <x:c r="K9" s="41" t="str">
        <x:f>"INR Cr"</x:f>
        <x:v>INR Cr</x:v>
      </x:c>
      <x:c r="L9" s="41" t="str">
        <x:f>IF(C9="Q1 FY27","Q1 FY27 standardized; issuer cross-check completed","Historical standardized; secondary extraction")</x:f>
        <x:v>Historical standardized; secondary extraction</x:v>
      </x:c>
    </x:row>
    <x:row r="10">
      <x:c r="A10" s="38" t="str">
        <x:f>Raw_Quarterly!A10</x:f>
        <x:v>TCS</x:v>
      </x:c>
      <x:c r="B10" s="38" t="str">
        <x:f>Raw_Quarterly!B10</x:f>
        <x:v>Sep-24</x:v>
      </x:c>
      <x:c r="C10" s="38" t="str">
        <x:f>Raw_Quarterly!C10</x:f>
        <x:v>Q2 FY25</x:v>
      </x:c>
      <x:c r="D10" s="39" t="n">
        <x:f>Raw_Quarterly!D10</x:f>
        <x:v>64259</x:v>
      </x:c>
      <x:c r="E10" s="39" t="n">
        <x:f>Raw_Quarterly!E10</x:f>
        <x:v>16731</x:v>
      </x:c>
      <x:c r="F10" s="39" t="n">
        <x:f>Raw_Quarterly!F10</x:f>
        <x:v>11955</x:v>
      </x:c>
      <x:c r="G10" s="40" t="n">
        <x:f>IF(A10=A9,D10/D9-1,"")</x:f>
        <x:v>0.026288470445434697</x:v>
      </x:c>
      <x:c r="H10" s="40" t="n">
        <x:f>IF(A10=A6,D10/D6-1,"")</x:f>
        <x:v>0.07650941499698449</x:v>
      </x:c>
      <x:c r="I10" s="40" t="n">
        <x:f>IFERROR(E10/D10,"")</x:f>
        <x:v>0.2603681974509407</x:v>
      </x:c>
      <x:c r="J10" s="40" t="n">
        <x:f>IFERROR(F10/D10,"")</x:f>
        <x:v>0.18604397827541666</x:v>
      </x:c>
      <x:c r="K10" s="41" t="str">
        <x:f>"INR Cr"</x:f>
        <x:v>INR Cr</x:v>
      </x:c>
      <x:c r="L10" s="41" t="str">
        <x:f>IF(C10="Q1 FY27","Q1 FY27 standardized; issuer cross-check completed","Historical standardized; secondary extraction")</x:f>
        <x:v>Historical standardized; secondary extraction</x:v>
      </x:c>
    </x:row>
    <x:row r="11">
      <x:c r="A11" s="38" t="str">
        <x:f>Raw_Quarterly!A11</x:f>
        <x:v>TCS</x:v>
      </x:c>
      <x:c r="B11" s="38" t="str">
        <x:f>Raw_Quarterly!B11</x:f>
        <x:v>Dec-24</x:v>
      </x:c>
      <x:c r="C11" s="38" t="str">
        <x:f>Raw_Quarterly!C11</x:f>
        <x:v>Q3 FY25</x:v>
      </x:c>
      <x:c r="D11" s="39" t="n">
        <x:f>Raw_Quarterly!D11</x:f>
        <x:v>63973</x:v>
      </x:c>
      <x:c r="E11" s="39" t="n">
        <x:f>Raw_Quarterly!E11</x:f>
        <x:v>17034</x:v>
      </x:c>
      <x:c r="F11" s="39" t="n">
        <x:f>Raw_Quarterly!F11</x:f>
        <x:v>12444</x:v>
      </x:c>
      <x:c r="G11" s="40" t="n">
        <x:f>IF(A11=A10,D11/D10-1,"")</x:f>
        <x:v>-0.004450738417964839</x:v>
      </x:c>
      <x:c r="H11" s="40" t="n">
        <x:f>IF(A11=A7,D11/D7-1,"")</x:f>
        <x:v>0.05595629136886582</x:v>
      </x:c>
      <x:c r="I11" s="40" t="n">
        <x:f>IFERROR(E11/D11,"")</x:f>
        <x:v>0.26626858205805576</x:v>
      </x:c>
      <x:c r="J11" s="40" t="n">
        <x:f>IFERROR(F11/D11,"")</x:f>
        <x:v>0.19451956294061556</x:v>
      </x:c>
      <x:c r="K11" s="41" t="str">
        <x:f>"INR Cr"</x:f>
        <x:v>INR Cr</x:v>
      </x:c>
      <x:c r="L11" s="41" t="str">
        <x:f>IF(C11="Q1 FY27","Q1 FY27 standardized; issuer cross-check completed","Historical standardized; secondary extraction")</x:f>
        <x:v>Historical standardized; secondary extraction</x:v>
      </x:c>
    </x:row>
    <x:row r="12">
      <x:c r="A12" s="38" t="str">
        <x:f>Raw_Quarterly!A12</x:f>
        <x:v>TCS</x:v>
      </x:c>
      <x:c r="B12" s="38" t="str">
        <x:f>Raw_Quarterly!B12</x:f>
        <x:v>Mar-25</x:v>
      </x:c>
      <x:c r="C12" s="38" t="str">
        <x:f>Raw_Quarterly!C12</x:f>
        <x:v>Q4 FY25</x:v>
      </x:c>
      <x:c r="D12" s="39" t="n">
        <x:f>Raw_Quarterly!D12</x:f>
        <x:v>64479</x:v>
      </x:c>
      <x:c r="E12" s="39" t="n">
        <x:f>Raw_Quarterly!E12</x:f>
        <x:v>16980</x:v>
      </x:c>
      <x:c r="F12" s="39" t="n">
        <x:f>Raw_Quarterly!F12</x:f>
        <x:v>12293</x:v>
      </x:c>
      <x:c r="G12" s="40" t="n">
        <x:f>IF(A12=A11,D12/D11-1,"")</x:f>
        <x:v>0.007909586856955197</x:v>
      </x:c>
      <x:c r="H12" s="40" t="n">
        <x:f>IF(A12=A8,D12/D8-1,"")</x:f>
        <x:v>0.05294184888221176</x:v>
      </x:c>
      <x:c r="I12" s="40" t="n">
        <x:f>IFERROR(E12/D12,"")</x:f>
        <x:v>0.2633415530637882</x:v>
      </x:c>
      <x:c r="J12" s="40" t="n">
        <x:f>IFERROR(F12/D12,"")</x:f>
        <x:v>0.19065121977698166</x:v>
      </x:c>
      <x:c r="K12" s="41" t="str">
        <x:f>"INR Cr"</x:f>
        <x:v>INR Cr</x:v>
      </x:c>
      <x:c r="L12" s="41" t="str">
        <x:f>IF(C12="Q1 FY27","Q1 FY27 standardized; issuer cross-check completed","Historical standardized; secondary extraction")</x:f>
        <x:v>Historical standardized; secondary extraction</x:v>
      </x:c>
    </x:row>
    <x:row r="13">
      <x:c r="A13" s="38" t="str">
        <x:f>Raw_Quarterly!A13</x:f>
        <x:v>TCS</x:v>
      </x:c>
      <x:c r="B13" s="38" t="str">
        <x:f>Raw_Quarterly!B13</x:f>
        <x:v>Jun-25</x:v>
      </x:c>
      <x:c r="C13" s="38" t="str">
        <x:f>Raw_Quarterly!C13</x:f>
        <x:v>Q1 FY26</x:v>
      </x:c>
      <x:c r="D13" s="39" t="n">
        <x:f>Raw_Quarterly!D13</x:f>
        <x:v>63437</x:v>
      </x:c>
      <x:c r="E13" s="39" t="n">
        <x:f>Raw_Quarterly!E13</x:f>
        <x:v>16875</x:v>
      </x:c>
      <x:c r="F13" s="39" t="n">
        <x:f>Raw_Quarterly!F13</x:f>
        <x:v>12819</x:v>
      </x:c>
      <x:c r="G13" s="40" t="n">
        <x:f>IF(A13=A12,D13/D12-1,"")</x:f>
        <x:v>-0.016160300252795468</x:v>
      </x:c>
      <x:c r="H13" s="40" t="n">
        <x:f>IF(A13=A9,D13/D9-1,"")</x:f>
        <x:v>0.013160206346924719</x:v>
      </x:c>
      <x:c r="I13" s="40" t="n">
        <x:f>IFERROR(E13/D13,"")</x:f>
        <x:v>0.2660119488626511</x:v>
      </x:c>
      <x:c r="J13" s="40" t="n">
        <x:f>IFERROR(F13/D13,"")</x:f>
        <x:v>0.20207449910935257</x:v>
      </x:c>
      <x:c r="K13" s="41" t="str">
        <x:f>"INR Cr"</x:f>
        <x:v>INR Cr</x:v>
      </x:c>
      <x:c r="L13" s="41" t="str">
        <x:f>IF(C13="Q1 FY27","Q1 FY27 standardized; issuer cross-check completed","Historical standardized; secondary extraction")</x:f>
        <x:v>Historical standardized; secondary extraction</x:v>
      </x:c>
    </x:row>
    <x:row r="14">
      <x:c r="A14" s="38" t="str">
        <x:f>Raw_Quarterly!A14</x:f>
        <x:v>TCS</x:v>
      </x:c>
      <x:c r="B14" s="38" t="str">
        <x:f>Raw_Quarterly!B14</x:f>
        <x:v>Sep-25</x:v>
      </x:c>
      <x:c r="C14" s="38" t="str">
        <x:f>Raw_Quarterly!C14</x:f>
        <x:v>Q2 FY26</x:v>
      </x:c>
      <x:c r="D14" s="39" t="n">
        <x:f>Raw_Quarterly!D14</x:f>
        <x:v>65799</x:v>
      </x:c>
      <x:c r="E14" s="39" t="n">
        <x:f>Raw_Quarterly!E14</x:f>
        <x:v>17978</x:v>
      </x:c>
      <x:c r="F14" s="39" t="n">
        <x:f>Raw_Quarterly!F14</x:f>
        <x:v>12131</x:v>
      </x:c>
      <x:c r="G14" s="40" t="n">
        <x:f>IF(A14=A13,D14/D13-1,"")</x:f>
        <x:v>0.03723379100524937</x:v>
      </x:c>
      <x:c r="H14" s="40" t="n">
        <x:f>IF(A14=A10,D14/D10-1,"")</x:f>
        <x:v>0.023965514558272005</x:v>
      </x:c>
      <x:c r="I14" s="40" t="n">
        <x:f>IFERROR(E14/D14,"")</x:f>
        <x:v>0.27322603686986124</x:v>
      </x:c>
      <x:c r="J14" s="40" t="n">
        <x:f>IFERROR(F14/D14,"")</x:f>
        <x:v>0.18436450401981794</x:v>
      </x:c>
      <x:c r="K14" s="41" t="str">
        <x:f>"INR Cr"</x:f>
        <x:v>INR Cr</x:v>
      </x:c>
      <x:c r="L14" s="41" t="str">
        <x:f>IF(C14="Q1 FY27","Q1 FY27 standardized; issuer cross-check completed","Historical standardized; secondary extraction")</x:f>
        <x:v>Historical standardized; secondary extraction</x:v>
      </x:c>
    </x:row>
    <x:row r="15">
      <x:c r="A15" s="38" t="str">
        <x:f>Raw_Quarterly!A15</x:f>
        <x:v>TCS</x:v>
      </x:c>
      <x:c r="B15" s="38" t="str">
        <x:f>Raw_Quarterly!B15</x:f>
        <x:v>Dec-25</x:v>
      </x:c>
      <x:c r="C15" s="38" t="str">
        <x:f>Raw_Quarterly!C15</x:f>
        <x:v>Q3 FY26</x:v>
      </x:c>
      <x:c r="D15" s="39" t="n">
        <x:f>Raw_Quarterly!D15</x:f>
        <x:v>67087</x:v>
      </x:c>
      <x:c r="E15" s="39" t="n">
        <x:f>Raw_Quarterly!E15</x:f>
        <x:v>18269</x:v>
      </x:c>
      <x:c r="F15" s="39" t="n">
        <x:f>Raw_Quarterly!F15</x:f>
        <x:v>10720</x:v>
      </x:c>
      <x:c r="G15" s="40" t="n">
        <x:f>IF(A15=A14,D15/D14-1,"")</x:f>
        <x:v>0.019574765573944886</x:v>
      </x:c>
      <x:c r="H15" s="40" t="n">
        <x:f>IF(A15=A11,D15/D11-1,"")</x:f>
        <x:v>0.048676785518890764</x:v>
      </x:c>
      <x:c r="I15" s="40" t="n">
        <x:f>IFERROR(E15/D15,"")</x:f>
        <x:v>0.272318034790645</x:v>
      </x:c>
      <x:c r="J15" s="40" t="n">
        <x:f>IFERROR(F15/D15,"")</x:f>
        <x:v>0.1597925082355747</x:v>
      </x:c>
      <x:c r="K15" s="41" t="str">
        <x:f>"INR Cr"</x:f>
        <x:v>INR Cr</x:v>
      </x:c>
      <x:c r="L15" s="41" t="str">
        <x:f>IF(C15="Q1 FY27","Q1 FY27 standardized; issuer cross-check completed","Historical standardized; secondary extraction")</x:f>
        <x:v>Historical standardized; secondary extraction</x:v>
      </x:c>
    </x:row>
    <x:row r="16">
      <x:c r="A16" s="38" t="str">
        <x:f>Raw_Quarterly!A16</x:f>
        <x:v>TCS</x:v>
      </x:c>
      <x:c r="B16" s="38" t="str">
        <x:f>Raw_Quarterly!B16</x:f>
        <x:v>Mar-26</x:v>
      </x:c>
      <x:c r="C16" s="38" t="str">
        <x:f>Raw_Quarterly!C16</x:f>
        <x:v>Q4 FY26</x:v>
      </x:c>
      <x:c r="D16" s="39" t="n">
        <x:f>Raw_Quarterly!D16</x:f>
        <x:v>70698</x:v>
      </x:c>
      <x:c r="E16" s="39" t="n">
        <x:f>Raw_Quarterly!E16</x:f>
        <x:v>19276</x:v>
      </x:c>
      <x:c r="F16" s="39" t="n">
        <x:f>Raw_Quarterly!F16</x:f>
        <x:v>13784</x:v>
      </x:c>
      <x:c r="G16" s="40" t="n">
        <x:f>IF(A16=A15,D16/D15-1,"")</x:f>
        <x:v>0.053825629406591524</x:v>
      </x:c>
      <x:c r="H16" s="40" t="n">
        <x:f>IF(A16=A12,D16/D12-1,"")</x:f>
        <x:v>0.0964500069790164</x:v>
      </x:c>
      <x:c r="I16" s="40" t="n">
        <x:f>IFERROR(E16/D16,"")</x:f>
        <x:v>0.2726526917310249</x:v>
      </x:c>
      <x:c r="J16" s="40" t="n">
        <x:f>IFERROR(F16/D16,"")</x:f>
        <x:v>0.19497015474270843</x:v>
      </x:c>
      <x:c r="K16" s="41" t="str">
        <x:f>"INR Cr"</x:f>
        <x:v>INR Cr</x:v>
      </x:c>
      <x:c r="L16" s="41" t="str">
        <x:f>IF(C16="Q1 FY27","Q1 FY27 standardized; issuer cross-check completed","Historical standardized; secondary extraction")</x:f>
        <x:v>Historical standardized; secondary extraction</x:v>
      </x:c>
    </x:row>
    <x:row r="17">
      <x:c r="A17" s="38" t="str">
        <x:f>Raw_Quarterly!A17</x:f>
        <x:v>TCS</x:v>
      </x:c>
      <x:c r="B17" s="38" t="str">
        <x:f>Raw_Quarterly!B17</x:f>
        <x:v>Jun-26</x:v>
      </x:c>
      <x:c r="C17" s="38" t="str">
        <x:f>Raw_Quarterly!C17</x:f>
        <x:v>Q1 FY27</x:v>
      </x:c>
      <x:c r="D17" s="39" t="n">
        <x:f>Raw_Quarterly!D17</x:f>
        <x:v>72275</x:v>
      </x:c>
      <x:c r="E17" s="39" t="n">
        <x:f>Raw_Quarterly!E17</x:f>
        <x:v>18556</x:v>
      </x:c>
      <x:c r="F17" s="39" t="n">
        <x:f>Raw_Quarterly!F17</x:f>
        <x:v>13420</x:v>
      </x:c>
      <x:c r="G17" s="40" t="n">
        <x:f>IF(A17=A16,D17/D16-1,"")</x:f>
        <x:v>0.022306147274321786</x:v>
      </x:c>
      <x:c r="H17" s="40" t="n">
        <x:f>IF(A17=A13,D17/D13-1,"")</x:f>
        <x:v>0.1393193246843325</x:v>
      </x:c>
      <x:c r="I17" s="40" t="n">
        <x:f>IFERROR(E17/D17,"")</x:f>
        <x:v>0.2567416118989969</x:v>
      </x:c>
      <x:c r="J17" s="40" t="n">
        <x:f>IFERROR(F17/D17,"")</x:f>
        <x:v>0.18567969560705638</x:v>
      </x:c>
      <x:c r="K17" s="41" t="str">
        <x:f>"INR Cr"</x:f>
        <x:v>INR Cr</x:v>
      </x:c>
      <x:c r="L17" s="41" t="str">
        <x:f>IF(C17="Q1 FY27","Q1 FY27 standardized; issuer cross-check completed","Historical standardized; secondary extraction")</x:f>
        <x:v>Q1 FY27 standardized; issuer cross-check completed</x:v>
      </x:c>
    </x:row>
    <x:row r="18">
      <x:c r="A18" s="38" t="str">
        <x:f>Raw_Quarterly!A18</x:f>
        <x:v>Infosys</x:v>
      </x:c>
      <x:c r="B18" s="38" t="str">
        <x:f>Raw_Quarterly!B18</x:f>
        <x:v>Jun-23</x:v>
      </x:c>
      <x:c r="C18" s="38" t="str">
        <x:f>Raw_Quarterly!C18</x:f>
        <x:v>Q1 FY24</x:v>
      </x:c>
      <x:c r="D18" s="39" t="n">
        <x:f>Raw_Quarterly!D18</x:f>
        <x:v>37933</x:v>
      </x:c>
      <x:c r="E18" s="39" t="n">
        <x:f>Raw_Quarterly!E18</x:f>
        <x:v>9064</x:v>
      </x:c>
      <x:c r="F18" s="39" t="n">
        <x:f>Raw_Quarterly!F18</x:f>
        <x:v>5945</x:v>
      </x:c>
      <x:c r="G18" s="40" t="str">
        <x:f>""</x:f>
      </x:c>
      <x:c r="H18" s="40" t="str">
        <x:f>""</x:f>
      </x:c>
      <x:c r="I18" s="40" t="n">
        <x:f>IFERROR(E18/D18,"")</x:f>
        <x:v>0.2389476181688767</x:v>
      </x:c>
      <x:c r="J18" s="40" t="n">
        <x:f>IFERROR(F18/D18,"")</x:f>
        <x:v>0.1567236970447895</x:v>
      </x:c>
      <x:c r="K18" s="41" t="str">
        <x:f>"INR Cr"</x:f>
        <x:v>INR Cr</x:v>
      </x:c>
      <x:c r="L18" s="41" t="str">
        <x:f>IF(C18="Q1 FY27","Q1 FY27 standardized; issuer cross-check completed","Historical standardized; secondary extraction")</x:f>
        <x:v>Historical standardized; secondary extraction</x:v>
      </x:c>
    </x:row>
    <x:row r="19">
      <x:c r="A19" s="38" t="str">
        <x:f>Raw_Quarterly!A19</x:f>
        <x:v>Infosys</x:v>
      </x:c>
      <x:c r="B19" s="38" t="str">
        <x:f>Raw_Quarterly!B19</x:f>
        <x:v>Sep-23</x:v>
      </x:c>
      <x:c r="C19" s="38" t="str">
        <x:f>Raw_Quarterly!C19</x:f>
        <x:v>Q2 FY24</x:v>
      </x:c>
      <x:c r="D19" s="39" t="n">
        <x:f>Raw_Quarterly!D19</x:f>
        <x:v>38994</x:v>
      </x:c>
      <x:c r="E19" s="39" t="n">
        <x:f>Raw_Quarterly!E19</x:f>
        <x:v>9440</x:v>
      </x:c>
      <x:c r="F19" s="39" t="n">
        <x:f>Raw_Quarterly!F19</x:f>
        <x:v>6215</x:v>
      </x:c>
      <x:c r="G19" s="40" t="n">
        <x:f>IF(A19=A18,D19/D18-1,"")</x:f>
        <x:v>0.02797036880816184</x:v>
      </x:c>
      <x:c r="H19" s="40" t="str">
        <x:f>""</x:f>
      </x:c>
      <x:c r="I19" s="40" t="n">
        <x:f>IFERROR(E19/D19,"")</x:f>
        <x:v>0.24208852643996512</x:v>
      </x:c>
      <x:c r="J19" s="40" t="n">
        <x:f>IFERROR(F19/D19,"")</x:f>
        <x:v>0.15938349489665077</x:v>
      </x:c>
      <x:c r="K19" s="41" t="str">
        <x:f>"INR Cr"</x:f>
        <x:v>INR Cr</x:v>
      </x:c>
      <x:c r="L19" s="41" t="str">
        <x:f>IF(C19="Q1 FY27","Q1 FY27 standardized; issuer cross-check completed","Historical standardized; secondary extraction")</x:f>
        <x:v>Historical standardized; secondary extraction</x:v>
      </x:c>
    </x:row>
    <x:row r="20">
      <x:c r="A20" s="38" t="str">
        <x:f>Raw_Quarterly!A20</x:f>
        <x:v>Infosys</x:v>
      </x:c>
      <x:c r="B20" s="38" t="str">
        <x:f>Raw_Quarterly!B20</x:f>
        <x:v>Dec-23</x:v>
      </x:c>
      <x:c r="C20" s="38" t="str">
        <x:f>Raw_Quarterly!C20</x:f>
        <x:v>Q3 FY24</x:v>
      </x:c>
      <x:c r="D20" s="39" t="n">
        <x:f>Raw_Quarterly!D20</x:f>
        <x:v>38821</x:v>
      </x:c>
      <x:c r="E20" s="39" t="n">
        <x:f>Raw_Quarterly!E20</x:f>
        <x:v>9137</x:v>
      </x:c>
      <x:c r="F20" s="39" t="n">
        <x:f>Raw_Quarterly!F20</x:f>
        <x:v>6113</x:v>
      </x:c>
      <x:c r="G20" s="40" t="n">
        <x:f>IF(A20=A19,D20/D19-1,"")</x:f>
        <x:v>-0.004436579986664579</x:v>
      </x:c>
      <x:c r="H20" s="40" t="str">
        <x:f>""</x:f>
      </x:c>
      <x:c r="I20" s="40" t="n">
        <x:f>IFERROR(E20/D20,"")</x:f>
        <x:v>0.23536230390767884</x:v>
      </x:c>
      <x:c r="J20" s="40" t="n">
        <x:f>IFERROR(F20/D20,"")</x:f>
        <x:v>0.1574663197753793</x:v>
      </x:c>
      <x:c r="K20" s="41" t="str">
        <x:f>"INR Cr"</x:f>
        <x:v>INR Cr</x:v>
      </x:c>
      <x:c r="L20" s="41" t="str">
        <x:f>IF(C20="Q1 FY27","Q1 FY27 standardized; issuer cross-check completed","Historical standardized; secondary extraction")</x:f>
        <x:v>Historical standardized; secondary extraction</x:v>
      </x:c>
    </x:row>
    <x:row r="21">
      <x:c r="A21" s="38" t="str">
        <x:f>Raw_Quarterly!A21</x:f>
        <x:v>Infosys</x:v>
      </x:c>
      <x:c r="B21" s="38" t="str">
        <x:f>Raw_Quarterly!B21</x:f>
        <x:v>Mar-24</x:v>
      </x:c>
      <x:c r="C21" s="38" t="str">
        <x:f>Raw_Quarterly!C21</x:f>
        <x:v>Q4 FY24</x:v>
      </x:c>
      <x:c r="D21" s="39" t="n">
        <x:f>Raw_Quarterly!D21</x:f>
        <x:v>37923</x:v>
      </x:c>
      <x:c r="E21" s="39" t="n">
        <x:f>Raw_Quarterly!E21</x:f>
        <x:v>8784</x:v>
      </x:c>
      <x:c r="F21" s="39" t="n">
        <x:f>Raw_Quarterly!F21</x:f>
        <x:v>7975</x:v>
      </x:c>
      <x:c r="G21" s="40" t="n">
        <x:f>IF(A21=A20,D21/D20-1,"")</x:f>
        <x:v>-0.023131810102779427</x:v>
      </x:c>
      <x:c r="H21" s="40" t="str">
        <x:f>""</x:f>
      </x:c>
      <x:c r="I21" s="40" t="n">
        <x:f>IFERROR(E21/D21,"")</x:f>
        <x:v>0.2316272446800095</x:v>
      </x:c>
      <x:c r="J21" s="40" t="n">
        <x:f>IFERROR(F21/D21,"")</x:f>
        <x:v>0.21029454420800042</x:v>
      </x:c>
      <x:c r="K21" s="41" t="str">
        <x:f>"INR Cr"</x:f>
        <x:v>INR Cr</x:v>
      </x:c>
      <x:c r="L21" s="41" t="str">
        <x:f>IF(C21="Q1 FY27","Q1 FY27 standardized; issuer cross-check completed","Historical standardized; secondary extraction")</x:f>
        <x:v>Historical standardized; secondary extraction</x:v>
      </x:c>
    </x:row>
    <x:row r="22">
      <x:c r="A22" s="38" t="str">
        <x:f>Raw_Quarterly!A22</x:f>
        <x:v>Infosys</x:v>
      </x:c>
      <x:c r="B22" s="38" t="str">
        <x:f>Raw_Quarterly!B22</x:f>
        <x:v>Jun-24</x:v>
      </x:c>
      <x:c r="C22" s="38" t="str">
        <x:f>Raw_Quarterly!C22</x:f>
        <x:v>Q1 FY25</x:v>
      </x:c>
      <x:c r="D22" s="39" t="n">
        <x:f>Raw_Quarterly!D22</x:f>
        <x:v>39315</x:v>
      </x:c>
      <x:c r="E22" s="39" t="n">
        <x:f>Raw_Quarterly!E22</x:f>
        <x:v>9437</x:v>
      </x:c>
      <x:c r="F22" s="39" t="n">
        <x:f>Raw_Quarterly!F22</x:f>
        <x:v>6374</x:v>
      </x:c>
      <x:c r="G22" s="40" t="n">
        <x:f>IF(A22=A21,D22/D21-1,"")</x:f>
        <x:v>0.03670595680721456</x:v>
      </x:c>
      <x:c r="H22" s="40" t="n">
        <x:f>IF(A22=A18,D22/D18-1,"")</x:f>
        <x:v>0.03643265758047076</x:v>
      </x:c>
      <x:c r="I22" s="40" t="n">
        <x:f>IFERROR(E22/D22,"")</x:f>
        <x:v>0.24003560981813557</x:v>
      </x:c>
      <x:c r="J22" s="40" t="n">
        <x:f>IFERROR(F22/D22,"")</x:f>
        <x:v>0.16212641485438128</x:v>
      </x:c>
      <x:c r="K22" s="41" t="str">
        <x:f>"INR Cr"</x:f>
        <x:v>INR Cr</x:v>
      </x:c>
      <x:c r="L22" s="41" t="str">
        <x:f>IF(C22="Q1 FY27","Q1 FY27 standardized; issuer cross-check completed","Historical standardized; secondary extraction")</x:f>
        <x:v>Historical standardized; secondary extraction</x:v>
      </x:c>
    </x:row>
    <x:row r="23">
      <x:c r="A23" s="38" t="str">
        <x:f>Raw_Quarterly!A23</x:f>
        <x:v>Infosys</x:v>
      </x:c>
      <x:c r="B23" s="38" t="str">
        <x:f>Raw_Quarterly!B23</x:f>
        <x:v>Sep-24</x:v>
      </x:c>
      <x:c r="C23" s="38" t="str">
        <x:f>Raw_Quarterly!C23</x:f>
        <x:v>Q2 FY25</x:v>
      </x:c>
      <x:c r="D23" s="39" t="n">
        <x:f>Raw_Quarterly!D23</x:f>
        <x:v>40986</x:v>
      </x:c>
      <x:c r="E23" s="39" t="n">
        <x:f>Raw_Quarterly!E23</x:f>
        <x:v>9809</x:v>
      </x:c>
      <x:c r="F23" s="39" t="n">
        <x:f>Raw_Quarterly!F23</x:f>
        <x:v>6516</x:v>
      </x:c>
      <x:c r="G23" s="40" t="n">
        <x:f>IF(A23=A22,D23/D22-1,"")</x:f>
        <x:v>0.042502861503243006</x:v>
      </x:c>
      <x:c r="H23" s="40" t="n">
        <x:f>IF(A23=A19,D23/D19-1,"")</x:f>
        <x:v>0.051084782274195994</x:v>
      </x:c>
      <x:c r="I23" s="40" t="n">
        <x:f>IFERROR(E23/D23,"")</x:f>
        <x:v>0.2393256233835944</x:v>
      </x:c>
      <x:c r="J23" s="40" t="n">
        <x:f>IFERROR(F23/D23,"")</x:f>
        <x:v>0.15898111550285463</x:v>
      </x:c>
      <x:c r="K23" s="41" t="str">
        <x:f>"INR Cr"</x:f>
        <x:v>INR Cr</x:v>
      </x:c>
      <x:c r="L23" s="41" t="str">
        <x:f>IF(C23="Q1 FY27","Q1 FY27 standardized; issuer cross-check completed","Historical standardized; secondary extraction")</x:f>
        <x:v>Historical standardized; secondary extraction</x:v>
      </x:c>
    </x:row>
    <x:row r="24">
      <x:c r="A24" s="38" t="str">
        <x:f>Raw_Quarterly!A24</x:f>
        <x:v>Infosys</x:v>
      </x:c>
      <x:c r="B24" s="38" t="str">
        <x:f>Raw_Quarterly!B24</x:f>
        <x:v>Dec-24</x:v>
      </x:c>
      <x:c r="C24" s="38" t="str">
        <x:f>Raw_Quarterly!C24</x:f>
        <x:v>Q3 FY25</x:v>
      </x:c>
      <x:c r="D24" s="39" t="n">
        <x:f>Raw_Quarterly!D24</x:f>
        <x:v>41764</x:v>
      </x:c>
      <x:c r="E24" s="39" t="n">
        <x:f>Raw_Quarterly!E24</x:f>
        <x:v>10115</x:v>
      </x:c>
      <x:c r="F24" s="39" t="n">
        <x:f>Raw_Quarterly!F24</x:f>
        <x:v>6822</x:v>
      </x:c>
      <x:c r="G24" s="40" t="n">
        <x:f>IF(A24=A23,D24/D23-1,"")</x:f>
        <x:v>0.018982091445859606</x:v>
      </x:c>
      <x:c r="H24" s="40" t="n">
        <x:f>IF(A24=A20,D24/D20-1,"")</x:f>
        <x:v>0.07580948455732717</x:v>
      </x:c>
      <x:c r="I24" s="40" t="n">
        <x:f>IFERROR(E24/D24,"")</x:f>
        <x:v>0.2421942342687482</x:v>
      </x:c>
      <x:c r="J24" s="40" t="n">
        <x:f>IFERROR(F24/D24,"")</x:f>
        <x:v>0.16334642275644096</x:v>
      </x:c>
      <x:c r="K24" s="41" t="str">
        <x:f>"INR Cr"</x:f>
        <x:v>INR Cr</x:v>
      </x:c>
      <x:c r="L24" s="41" t="str">
        <x:f>IF(C24="Q1 FY27","Q1 FY27 standardized; issuer cross-check completed","Historical standardized; secondary extraction")</x:f>
        <x:v>Historical standardized; secondary extraction</x:v>
      </x:c>
    </x:row>
    <x:row r="25">
      <x:c r="A25" s="38" t="str">
        <x:f>Raw_Quarterly!A25</x:f>
        <x:v>Infosys</x:v>
      </x:c>
      <x:c r="B25" s="38" t="str">
        <x:f>Raw_Quarterly!B25</x:f>
        <x:v>Mar-25</x:v>
      </x:c>
      <x:c r="C25" s="38" t="str">
        <x:f>Raw_Quarterly!C25</x:f>
        <x:v>Q4 FY25</x:v>
      </x:c>
      <x:c r="D25" s="39" t="n">
        <x:f>Raw_Quarterly!D25</x:f>
        <x:v>40925</x:v>
      </x:c>
      <x:c r="E25" s="39" t="n">
        <x:f>Raw_Quarterly!E25</x:f>
        <x:v>9874</x:v>
      </x:c>
      <x:c r="F25" s="39" t="n">
        <x:f>Raw_Quarterly!F25</x:f>
        <x:v>7038</x:v>
      </x:c>
      <x:c r="G25" s="40" t="n">
        <x:f>IF(A25=A24,D25/D24-1,"")</x:f>
        <x:v>-0.020089071927976265</x:v>
      </x:c>
      <x:c r="H25" s="40" t="n">
        <x:f>IF(A25=A21,D25/D21-1,"")</x:f>
        <x:v>0.07916040397647861</x:v>
      </x:c>
      <x:c r="I25" s="40" t="n">
        <x:f>IFERROR(E25/D25,"")</x:f>
        <x:v>0.24127061698228466</x:v>
      </x:c>
      <x:c r="J25" s="40" t="n">
        <x:f>IFERROR(F25/D25,"")</x:f>
        <x:v>0.1719731215638363</x:v>
      </x:c>
      <x:c r="K25" s="41" t="str">
        <x:f>"INR Cr"</x:f>
        <x:v>INR Cr</x:v>
      </x:c>
      <x:c r="L25" s="41" t="str">
        <x:f>IF(C25="Q1 FY27","Q1 FY27 standardized; issuer cross-check completed","Historical standardized; secondary extraction")</x:f>
        <x:v>Historical standardized; secondary extraction</x:v>
      </x:c>
    </x:row>
    <x:row r="26">
      <x:c r="A26" s="38" t="str">
        <x:f>Raw_Quarterly!A26</x:f>
        <x:v>Infosys</x:v>
      </x:c>
      <x:c r="B26" s="38" t="str">
        <x:f>Raw_Quarterly!B26</x:f>
        <x:v>Jun-25</x:v>
      </x:c>
      <x:c r="C26" s="38" t="str">
        <x:f>Raw_Quarterly!C26</x:f>
        <x:v>Q1 FY26</x:v>
      </x:c>
      <x:c r="D26" s="39" t="n">
        <x:f>Raw_Quarterly!D26</x:f>
        <x:v>42279</x:v>
      </x:c>
      <x:c r="E26" s="39" t="n">
        <x:f>Raw_Quarterly!E26</x:f>
        <x:v>9943</x:v>
      </x:c>
      <x:c r="F26" s="39" t="n">
        <x:f>Raw_Quarterly!F26</x:f>
        <x:v>6924</x:v>
      </x:c>
      <x:c r="G26" s="40" t="n">
        <x:f>IF(A26=A25,D26/D25-1,"")</x:f>
        <x:v>0.03308491142333536</x:v>
      </x:c>
      <x:c r="H26" s="40" t="n">
        <x:f>IF(A26=A22,D26/D22-1,"")</x:f>
        <x:v>0.07539107210988183</x:v>
      </x:c>
      <x:c r="I26" s="40" t="n">
        <x:f>IFERROR(E26/D26,"")</x:f>
        <x:v>0.23517585562572435</x:v>
      </x:c>
      <x:c r="J26" s="40" t="n">
        <x:f>IFERROR(F26/D26,"")</x:f>
        <x:v>0.16376924714397217</x:v>
      </x:c>
      <x:c r="K26" s="41" t="str">
        <x:f>"INR Cr"</x:f>
        <x:v>INR Cr</x:v>
      </x:c>
      <x:c r="L26" s="41" t="str">
        <x:f>IF(C26="Q1 FY27","Q1 FY27 standardized; issuer cross-check completed","Historical standardized; secondary extraction")</x:f>
        <x:v>Historical standardized; secondary extraction</x:v>
      </x:c>
    </x:row>
    <x:row r="27">
      <x:c r="A27" s="38" t="str">
        <x:f>Raw_Quarterly!A27</x:f>
        <x:v>Infosys</x:v>
      </x:c>
      <x:c r="B27" s="38" t="str">
        <x:f>Raw_Quarterly!B27</x:f>
        <x:v>Sep-25</x:v>
      </x:c>
      <x:c r="C27" s="38" t="str">
        <x:f>Raw_Quarterly!C27</x:f>
        <x:v>Q2 FY26</x:v>
      </x:c>
      <x:c r="D27" s="39" t="n">
        <x:f>Raw_Quarterly!D27</x:f>
        <x:v>44490</x:v>
      </x:c>
      <x:c r="E27" s="39" t="n">
        <x:f>Raw_Quarterly!E27</x:f>
        <x:v>10535</x:v>
      </x:c>
      <x:c r="F27" s="39" t="n">
        <x:f>Raw_Quarterly!F27</x:f>
        <x:v>7375</x:v>
      </x:c>
      <x:c r="G27" s="40" t="n">
        <x:f>IF(A27=A26,D27/D26-1,"")</x:f>
        <x:v>0.05229546583410194</x:v>
      </x:c>
      <x:c r="H27" s="40" t="n">
        <x:f>IF(A27=A23,D27/D23-1,"")</x:f>
        <x:v>0.08549260723173768</x:v>
      </x:c>
      <x:c r="I27" s="40" t="n">
        <x:f>IFERROR(E27/D27,"")</x:f>
        <x:v>0.23679478534502135</x:v>
      </x:c>
      <x:c r="J27" s="40" t="n">
        <x:f>IFERROR(F27/D27,"")</x:f>
        <x:v>0.16576758822207238</x:v>
      </x:c>
      <x:c r="K27" s="41" t="str">
        <x:f>"INR Cr"</x:f>
        <x:v>INR Cr</x:v>
      </x:c>
      <x:c r="L27" s="41" t="str">
        <x:f>IF(C27="Q1 FY27","Q1 FY27 standardized; issuer cross-check completed","Historical standardized; secondary extraction")</x:f>
        <x:v>Historical standardized; secondary extraction</x:v>
      </x:c>
    </x:row>
    <x:row r="28">
      <x:c r="A28" s="38" t="str">
        <x:f>Raw_Quarterly!A28</x:f>
        <x:v>Infosys</x:v>
      </x:c>
      <x:c r="B28" s="38" t="str">
        <x:f>Raw_Quarterly!B28</x:f>
        <x:v>Dec-25</x:v>
      </x:c>
      <x:c r="C28" s="38" t="str">
        <x:f>Raw_Quarterly!C28</x:f>
        <x:v>Q3 FY26</x:v>
      </x:c>
      <x:c r="D28" s="39" t="n">
        <x:f>Raw_Quarterly!D28</x:f>
        <x:v>45479</x:v>
      </x:c>
      <x:c r="E28" s="39" t="n">
        <x:f>Raw_Quarterly!E28</x:f>
        <x:v>10634</x:v>
      </x:c>
      <x:c r="F28" s="39" t="n">
        <x:f>Raw_Quarterly!F28</x:f>
        <x:v>6666</x:v>
      </x:c>
      <x:c r="G28" s="40" t="n">
        <x:f>IF(A28=A27,D28/D27-1,"")</x:f>
        <x:v>0.022229714542593815</x:v>
      </x:c>
      <x:c r="H28" s="40" t="n">
        <x:f>IF(A28=A24,D28/D24-1,"")</x:f>
        <x:v>0.08895220764294609</x:v>
      </x:c>
      <x:c r="I28" s="40" t="n">
        <x:f>IFERROR(E28/D28,"")</x:f>
        <x:v>0.2338222036544339</x:v>
      </x:c>
      <x:c r="J28" s="40" t="n">
        <x:f>IFERROR(F28/D28,"")</x:f>
        <x:v>0.14657314364871699</x:v>
      </x:c>
      <x:c r="K28" s="41" t="str">
        <x:f>"INR Cr"</x:f>
        <x:v>INR Cr</x:v>
      </x:c>
      <x:c r="L28" s="41" t="str">
        <x:f>IF(C28="Q1 FY27","Q1 FY27 standardized; issuer cross-check completed","Historical standardized; secondary extraction")</x:f>
        <x:v>Historical standardized; secondary extraction</x:v>
      </x:c>
    </x:row>
    <x:row r="29">
      <x:c r="A29" s="38" t="str">
        <x:f>Raw_Quarterly!A29</x:f>
        <x:v>Infosys</x:v>
      </x:c>
      <x:c r="B29" s="38" t="str">
        <x:f>Raw_Quarterly!B29</x:f>
        <x:v>Mar-26</x:v>
      </x:c>
      <x:c r="C29" s="38" t="str">
        <x:f>Raw_Quarterly!C29</x:f>
        <x:v>Q4 FY26</x:v>
      </x:c>
      <x:c r="D29" s="39" t="n">
        <x:f>Raw_Quarterly!D29</x:f>
        <x:v>46402</x:v>
      </x:c>
      <x:c r="E29" s="39" t="n">
        <x:f>Raw_Quarterly!E29</x:f>
        <x:v>11167</x:v>
      </x:c>
      <x:c r="F29" s="39" t="n">
        <x:f>Raw_Quarterly!F29</x:f>
        <x:v>8509</x:v>
      </x:c>
      <x:c r="G29" s="40" t="n">
        <x:f>IF(A29=A28,D29/D28-1,"")</x:f>
        <x:v>0.020295081246289426</x:v>
      </x:c>
      <x:c r="H29" s="40" t="n">
        <x:f>IF(A29=A25,D29/D25-1,"")</x:f>
        <x:v>0.13383017715332923</x:v>
      </x:c>
      <x:c r="I29" s="40" t="n">
        <x:f>IFERROR(E29/D29,"")</x:f>
        <x:v>0.24065773027024698</x:v>
      </x:c>
      <x:c r="J29" s="40" t="n">
        <x:f>IFERROR(F29/D29,"")</x:f>
        <x:v>0.18337571656394122</x:v>
      </x:c>
      <x:c r="K29" s="41" t="str">
        <x:f>"INR Cr"</x:f>
        <x:v>INR Cr</x:v>
      </x:c>
      <x:c r="L29" s="41" t="str">
        <x:f>IF(C29="Q1 FY27","Q1 FY27 standardized; issuer cross-check completed","Historical standardized; secondary extraction")</x:f>
        <x:v>Historical standardized; secondary extraction</x:v>
      </x:c>
    </x:row>
    <x:row r="30">
      <x:c r="A30" s="38" t="str">
        <x:f>Raw_Quarterly!A30</x:f>
        <x:v>Infosys</x:v>
      </x:c>
      <x:c r="B30" s="38" t="str">
        <x:f>Raw_Quarterly!B30</x:f>
        <x:v>Jun-26</x:v>
      </x:c>
      <x:c r="C30" s="38" t="str">
        <x:f>Raw_Quarterly!C30</x:f>
        <x:v>Q1 FY27</x:v>
      </x:c>
      <x:c r="D30" s="39" t="n">
        <x:f>Raw_Quarterly!D30</x:f>
        <x:v>48211</x:v>
      </x:c>
      <x:c r="E30" s="39" t="n">
        <x:f>Raw_Quarterly!E30</x:f>
        <x:v>11409</x:v>
      </x:c>
      <x:c r="F30" s="39" t="n">
        <x:f>Raw_Quarterly!F30</x:f>
        <x:v>7775</x:v>
      </x:c>
      <x:c r="G30" s="40" t="n">
        <x:f>IF(A30=A29,D30/D29-1,"")</x:f>
        <x:v>0.038985388560838</x:v>
      </x:c>
      <x:c r="H30" s="40" t="n">
        <x:f>IF(A30=A26,D30/D26-1,"")</x:f>
        <x:v>0.14030606211121355</x:v>
      </x:c>
      <x:c r="I30" s="40" t="n">
        <x:f>IFERROR(E30/D30,"")</x:f>
        <x:v>0.2366472381821576</x:v>
      </x:c>
      <x:c r="J30" s="40" t="n">
        <x:f>IFERROR(F30/D30,"")</x:f>
        <x:v>0.161270249528116</x:v>
      </x:c>
      <x:c r="K30" s="41" t="str">
        <x:f>"INR Cr"</x:f>
        <x:v>INR Cr</x:v>
      </x:c>
      <x:c r="L30" s="41" t="str">
        <x:f>IF(C30="Q1 FY27","Q1 FY27 standardized; issuer cross-check completed","Historical standardized; secondary extraction")</x:f>
        <x:v>Q1 FY27 standardized; issuer cross-check completed</x:v>
      </x:c>
    </x:row>
    <x:row r="31">
      <x:c r="A31" s="38" t="str">
        <x:f>Raw_Quarterly!A31</x:f>
        <x:v>HCLTech</x:v>
      </x:c>
      <x:c r="B31" s="38" t="str">
        <x:f>Raw_Quarterly!B31</x:f>
        <x:v>Jun-23</x:v>
      </x:c>
      <x:c r="C31" s="38" t="str">
        <x:f>Raw_Quarterly!C31</x:f>
        <x:v>Q1 FY24</x:v>
      </x:c>
      <x:c r="D31" s="39" t="n">
        <x:f>Raw_Quarterly!D31</x:f>
        <x:v>26296</x:v>
      </x:c>
      <x:c r="E31" s="39" t="n">
        <x:f>Raw_Quarterly!E31</x:f>
        <x:v>5365</x:v>
      </x:c>
      <x:c r="F31" s="39" t="n">
        <x:f>Raw_Quarterly!F31</x:f>
        <x:v>3531</x:v>
      </x:c>
      <x:c r="G31" s="40" t="str">
        <x:f>""</x:f>
      </x:c>
      <x:c r="H31" s="40" t="str">
        <x:f>""</x:f>
      </x:c>
      <x:c r="I31" s="40" t="n">
        <x:f>IFERROR(E31/D31,"")</x:f>
        <x:v>0.2040234256160633</x:v>
      </x:c>
      <x:c r="J31" s="40" t="n">
        <x:f>IFERROR(F31/D31,"")</x:f>
        <x:v>0.13427897779129905</x:v>
      </x:c>
      <x:c r="K31" s="41" t="str">
        <x:f>"INR Cr"</x:f>
        <x:v>INR Cr</x:v>
      </x:c>
      <x:c r="L31" s="41" t="str">
        <x:f>IF(C31="Q1 FY27","Q1 FY27 standardized; issuer cross-check completed","Historical standardized; secondary extraction")</x:f>
        <x:v>Historical standardized; secondary extraction</x:v>
      </x:c>
    </x:row>
    <x:row r="32">
      <x:c r="A32" s="38" t="str">
        <x:f>Raw_Quarterly!A32</x:f>
        <x:v>HCLTech</x:v>
      </x:c>
      <x:c r="B32" s="38" t="str">
        <x:f>Raw_Quarterly!B32</x:f>
        <x:v>Sep-23</x:v>
      </x:c>
      <x:c r="C32" s="38" t="str">
        <x:f>Raw_Quarterly!C32</x:f>
        <x:v>Q2 FY24</x:v>
      </x:c>
      <x:c r="D32" s="39" t="n">
        <x:f>Raw_Quarterly!D32</x:f>
        <x:v>26672</x:v>
      </x:c>
      <x:c r="E32" s="39" t="n">
        <x:f>Raw_Quarterly!E32</x:f>
        <x:v>5929</x:v>
      </x:c>
      <x:c r="F32" s="39" t="n">
        <x:f>Raw_Quarterly!F32</x:f>
        <x:v>3833</x:v>
      </x:c>
      <x:c r="G32" s="40" t="n">
        <x:f>IF(A32=A31,D32/D31-1,"")</x:f>
        <x:v>0.014298752662001757</x:v>
      </x:c>
      <x:c r="H32" s="40" t="str">
        <x:f>""</x:f>
      </x:c>
      <x:c r="I32" s="40" t="n">
        <x:f>IFERROR(E32/D32,"")</x:f>
        <x:v>0.22229304139172165</x:v>
      </x:c>
      <x:c r="J32" s="40" t="n">
        <x:f>IFERROR(F32/D32,"")</x:f>
        <x:v>0.14370875824835033</x:v>
      </x:c>
      <x:c r="K32" s="41" t="str">
        <x:f>"INR Cr"</x:f>
        <x:v>INR Cr</x:v>
      </x:c>
      <x:c r="L32" s="41" t="str">
        <x:f>IF(C32="Q1 FY27","Q1 FY27 standardized; issuer cross-check completed","Historical standardized; secondary extraction")</x:f>
        <x:v>Historical standardized; secondary extraction</x:v>
      </x:c>
    </x:row>
    <x:row r="33">
      <x:c r="A33" s="38" t="str">
        <x:f>Raw_Quarterly!A33</x:f>
        <x:v>HCLTech</x:v>
      </x:c>
      <x:c r="B33" s="38" t="str">
        <x:f>Raw_Quarterly!B33</x:f>
        <x:v>Dec-23</x:v>
      </x:c>
      <x:c r="C33" s="38" t="str">
        <x:f>Raw_Quarterly!C33</x:f>
        <x:v>Q3 FY24</x:v>
      </x:c>
      <x:c r="D33" s="39" t="n">
        <x:f>Raw_Quarterly!D33</x:f>
        <x:v>28446</x:v>
      </x:c>
      <x:c r="E33" s="39" t="n">
        <x:f>Raw_Quarterly!E33</x:f>
        <x:v>6787</x:v>
      </x:c>
      <x:c r="F33" s="39" t="n">
        <x:f>Raw_Quarterly!F33</x:f>
        <x:v>4351</x:v>
      </x:c>
      <x:c r="G33" s="40" t="n">
        <x:f>IF(A33=A32,D33/D32-1,"")</x:f>
        <x:v>0.06651169766046783</x:v>
      </x:c>
      <x:c r="H33" s="40" t="str">
        <x:f>""</x:f>
      </x:c>
      <x:c r="I33" s="40" t="n">
        <x:f>IFERROR(E33/D33,"")</x:f>
        <x:v>0.2385924207269915</x:v>
      </x:c>
      <x:c r="J33" s="40" t="n">
        <x:f>IFERROR(F33/D33,"")</x:f>
        <x:v>0.15295647894255782</x:v>
      </x:c>
      <x:c r="K33" s="41" t="str">
        <x:f>"INR Cr"</x:f>
        <x:v>INR Cr</x:v>
      </x:c>
      <x:c r="L33" s="41" t="str">
        <x:f>IF(C33="Q1 FY27","Q1 FY27 standardized; issuer cross-check completed","Historical standardized; secondary extraction")</x:f>
        <x:v>Historical standardized; secondary extraction</x:v>
      </x:c>
    </x:row>
    <x:row r="34">
      <x:c r="A34" s="38" t="str">
        <x:f>Raw_Quarterly!A34</x:f>
        <x:v>HCLTech</x:v>
      </x:c>
      <x:c r="B34" s="38" t="str">
        <x:f>Raw_Quarterly!B34</x:f>
        <x:v>Mar-24</x:v>
      </x:c>
      <x:c r="C34" s="38" t="str">
        <x:f>Raw_Quarterly!C34</x:f>
        <x:v>Q4 FY24</x:v>
      </x:c>
      <x:c r="D34" s="39" t="n">
        <x:f>Raw_Quarterly!D34</x:f>
        <x:v>28499</x:v>
      </x:c>
      <x:c r="E34" s="39" t="n">
        <x:f>Raw_Quarterly!E34</x:f>
        <x:v>6117</x:v>
      </x:c>
      <x:c r="F34" s="39" t="n">
        <x:f>Raw_Quarterly!F34</x:f>
        <x:v>3995</x:v>
      </x:c>
      <x:c r="G34" s="40" t="n">
        <x:f>IF(A34=A33,D34/D33-1,"")</x:f>
        <x:v>0.0018631793573788968</x:v>
      </x:c>
      <x:c r="H34" s="40" t="str">
        <x:f>""</x:f>
      </x:c>
      <x:c r="I34" s="40" t="n">
        <x:f>IFERROR(E34/D34,"")</x:f>
        <x:v>0.21463911014421558</x:v>
      </x:c>
      <x:c r="J34" s="40" t="n">
        <x:f>IFERROR(F34/D34,"")</x:f>
        <x:v>0.14018035720551597</x:v>
      </x:c>
      <x:c r="K34" s="41" t="str">
        <x:f>"INR Cr"</x:f>
        <x:v>INR Cr</x:v>
      </x:c>
      <x:c r="L34" s="41" t="str">
        <x:f>IF(C34="Q1 FY27","Q1 FY27 standardized; issuer cross-check completed","Historical standardized; secondary extraction")</x:f>
        <x:v>Historical standardized; secondary extraction</x:v>
      </x:c>
    </x:row>
    <x:row r="35">
      <x:c r="A35" s="38" t="str">
        <x:f>Raw_Quarterly!A35</x:f>
        <x:v>HCLTech</x:v>
      </x:c>
      <x:c r="B35" s="38" t="str">
        <x:f>Raw_Quarterly!B35</x:f>
        <x:v>Jun-24</x:v>
      </x:c>
      <x:c r="C35" s="38" t="str">
        <x:f>Raw_Quarterly!C35</x:f>
        <x:v>Q1 FY25</x:v>
      </x:c>
      <x:c r="D35" s="39" t="n">
        <x:f>Raw_Quarterly!D35</x:f>
        <x:v>28057</x:v>
      </x:c>
      <x:c r="E35" s="39" t="n">
        <x:f>Raw_Quarterly!E35</x:f>
        <x:v>5793</x:v>
      </x:c>
      <x:c r="F35" s="39" t="n">
        <x:f>Raw_Quarterly!F35</x:f>
        <x:v>4259</x:v>
      </x:c>
      <x:c r="G35" s="40" t="n">
        <x:f>IF(A35=A34,D35/D34-1,"")</x:f>
        <x:v>-0.015509316116354976</x:v>
      </x:c>
      <x:c r="H35" s="40" t="n">
        <x:f>IF(A35=A31,D35/D31-1,"")</x:f>
        <x:v>0.06696836020687558</x:v>
      </x:c>
      <x:c r="I35" s="40" t="n">
        <x:f>IFERROR(E35/D35,"")</x:f>
        <x:v>0.20647253804754606</x:v>
      </x:c>
      <x:c r="J35" s="40" t="n">
        <x:f>IFERROR(F35/D35,"")</x:f>
        <x:v>0.15179812524503689</x:v>
      </x:c>
      <x:c r="K35" s="41" t="str">
        <x:f>"INR Cr"</x:f>
        <x:v>INR Cr</x:v>
      </x:c>
      <x:c r="L35" s="41" t="str">
        <x:f>IF(C35="Q1 FY27","Q1 FY27 standardized; issuer cross-check completed","Historical standardized; secondary extraction")</x:f>
        <x:v>Historical standardized; secondary extraction</x:v>
      </x:c>
    </x:row>
    <x:row r="36">
      <x:c r="A36" s="38" t="str">
        <x:f>Raw_Quarterly!A36</x:f>
        <x:v>HCLTech</x:v>
      </x:c>
      <x:c r="B36" s="38" t="str">
        <x:f>Raw_Quarterly!B36</x:f>
        <x:v>Sep-24</x:v>
      </x:c>
      <x:c r="C36" s="38" t="str">
        <x:f>Raw_Quarterly!C36</x:f>
        <x:v>Q2 FY25</x:v>
      </x:c>
      <x:c r="D36" s="39" t="n">
        <x:f>Raw_Quarterly!D36</x:f>
        <x:v>28862</x:v>
      </x:c>
      <x:c r="E36" s="39" t="n">
        <x:f>Raw_Quarterly!E36</x:f>
        <x:v>6369</x:v>
      </x:c>
      <x:c r="F36" s="39" t="n">
        <x:f>Raw_Quarterly!F36</x:f>
        <x:v>4237</x:v>
      </x:c>
      <x:c r="G36" s="40" t="n">
        <x:f>IF(A36=A35,D36/D35-1,"")</x:f>
        <x:v>0.028691592116049547</x:v>
      </x:c>
      <x:c r="H36" s="40" t="n">
        <x:f>IF(A36=A32,D36/D32-1,"")</x:f>
        <x:v>0.08210857828434315</x:v>
      </x:c>
      <x:c r="I36" s="40" t="n">
        <x:f>IFERROR(E36/D36,"")</x:f>
        <x:v>0.2206707781858499</x:v>
      </x:c>
      <x:c r="J36" s="40" t="n">
        <x:f>IFERROR(F36/D36,"")</x:f>
        <x:v>0.1468020234218003</x:v>
      </x:c>
      <x:c r="K36" s="41" t="str">
        <x:f>"INR Cr"</x:f>
        <x:v>INR Cr</x:v>
      </x:c>
      <x:c r="L36" s="41" t="str">
        <x:f>IF(C36="Q1 FY27","Q1 FY27 standardized; issuer cross-check completed","Historical standardized; secondary extraction")</x:f>
        <x:v>Historical standardized; secondary extraction</x:v>
      </x:c>
    </x:row>
    <x:row r="37">
      <x:c r="A37" s="38" t="str">
        <x:f>Raw_Quarterly!A37</x:f>
        <x:v>HCLTech</x:v>
      </x:c>
      <x:c r="B37" s="38" t="str">
        <x:f>Raw_Quarterly!B37</x:f>
        <x:v>Dec-24</x:v>
      </x:c>
      <x:c r="C37" s="38" t="str">
        <x:f>Raw_Quarterly!C37</x:f>
        <x:v>Q3 FY25</x:v>
      </x:c>
      <x:c r="D37" s="39" t="n">
        <x:f>Raw_Quarterly!D37</x:f>
        <x:v>29890</x:v>
      </x:c>
      <x:c r="E37" s="39" t="n">
        <x:f>Raw_Quarterly!E37</x:f>
        <x:v>6860</x:v>
      </x:c>
      <x:c r="F37" s="39" t="n">
        <x:f>Raw_Quarterly!F37</x:f>
        <x:v>4594</x:v>
      </x:c>
      <x:c r="G37" s="40" t="n">
        <x:f>IF(A37=A36,D37/D36-1,"")</x:f>
        <x:v>0.03561776730649302</x:v>
      </x:c>
      <x:c r="H37" s="40" t="n">
        <x:f>IF(A37=A33,D37/D33-1,"")</x:f>
        <x:v>0.050762848906700464</x:v>
      </x:c>
      <x:c r="I37" s="40" t="n">
        <x:f>IFERROR(E37/D37,"")</x:f>
        <x:v>0.22950819672131148</x:v>
      </x:c>
      <x:c r="J37" s="40" t="n">
        <x:f>IFERROR(F37/D37,"")</x:f>
        <x:v>0.15369688859150218</x:v>
      </x:c>
      <x:c r="K37" s="41" t="str">
        <x:f>"INR Cr"</x:f>
        <x:v>INR Cr</x:v>
      </x:c>
      <x:c r="L37" s="41" t="str">
        <x:f>IF(C37="Q1 FY27","Q1 FY27 standardized; issuer cross-check completed","Historical standardized; secondary extraction")</x:f>
        <x:v>Historical standardized; secondary extraction</x:v>
      </x:c>
    </x:row>
    <x:row r="38">
      <x:c r="A38" s="38" t="str">
        <x:f>Raw_Quarterly!A38</x:f>
        <x:v>HCLTech</x:v>
      </x:c>
      <x:c r="B38" s="38" t="str">
        <x:f>Raw_Quarterly!B38</x:f>
        <x:v>Mar-25</x:v>
      </x:c>
      <x:c r="C38" s="38" t="str">
        <x:f>Raw_Quarterly!C38</x:f>
        <x:v>Q4 FY25</x:v>
      </x:c>
      <x:c r="D38" s="39" t="n">
        <x:f>Raw_Quarterly!D38</x:f>
        <x:v>30246</x:v>
      </x:c>
      <x:c r="E38" s="39" t="n">
        <x:f>Raw_Quarterly!E38</x:f>
        <x:v>6482</x:v>
      </x:c>
      <x:c r="F38" s="39" t="n">
        <x:f>Raw_Quarterly!F38</x:f>
        <x:v>4309</x:v>
      </x:c>
      <x:c r="G38" s="40" t="n">
        <x:f>IF(A38=A37,D38/D37-1,"")</x:f>
        <x:v>0.01191033790565399</x:v>
      </x:c>
      <x:c r="H38" s="40" t="n">
        <x:f>IF(A38=A34,D38/D34-1,"")</x:f>
        <x:v>0.06130039650514063</x:v>
      </x:c>
      <x:c r="I38" s="40" t="n">
        <x:f>IFERROR(E38/D38,"")</x:f>
        <x:v>0.2143093301593599</x:v>
      </x:c>
      <x:c r="J38" s="40" t="n">
        <x:f>IFERROR(F38/D38,"")</x:f>
        <x:v>0.1424651193546254</x:v>
      </x:c>
      <x:c r="K38" s="41" t="str">
        <x:f>"INR Cr"</x:f>
        <x:v>INR Cr</x:v>
      </x:c>
      <x:c r="L38" s="41" t="str">
        <x:f>IF(C38="Q1 FY27","Q1 FY27 standardized; issuer cross-check completed","Historical standardized; secondary extraction")</x:f>
        <x:v>Historical standardized; secondary extraction</x:v>
      </x:c>
    </x:row>
    <x:row r="39">
      <x:c r="A39" s="38" t="str">
        <x:f>Raw_Quarterly!A39</x:f>
        <x:v>HCLTech</x:v>
      </x:c>
      <x:c r="B39" s="38" t="str">
        <x:f>Raw_Quarterly!B39</x:f>
        <x:v>Jun-25</x:v>
      </x:c>
      <x:c r="C39" s="38" t="str">
        <x:f>Raw_Quarterly!C39</x:f>
        <x:v>Q1 FY26</x:v>
      </x:c>
      <x:c r="D39" s="39" t="n">
        <x:f>Raw_Quarterly!D39</x:f>
        <x:v>30349</x:v>
      </x:c>
      <x:c r="E39" s="39" t="n">
        <x:f>Raw_Quarterly!E39</x:f>
        <x:v>6035</x:v>
      </x:c>
      <x:c r="F39" s="39" t="n">
        <x:f>Raw_Quarterly!F39</x:f>
        <x:v>3844</x:v>
      </x:c>
      <x:c r="G39" s="40" t="n">
        <x:f>IF(A39=A38,D39/D38-1,"")</x:f>
        <x:v>0.0034054089796997644</x:v>
      </x:c>
      <x:c r="H39" s="40" t="n">
        <x:f>IF(A39=A35,D39/D35-1,"")</x:f>
        <x:v>0.08169084363973345</x:v>
      </x:c>
      <x:c r="I39" s="40" t="n">
        <x:f>IFERROR(E39/D39,"")</x:f>
        <x:v>0.19885333948400277</x:v>
      </x:c>
      <x:c r="J39" s="40" t="n">
        <x:f>IFERROR(F39/D39,"")</x:f>
        <x:v>0.12665985699693566</x:v>
      </x:c>
      <x:c r="K39" s="41" t="str">
        <x:f>"INR Cr"</x:f>
        <x:v>INR Cr</x:v>
      </x:c>
      <x:c r="L39" s="41" t="str">
        <x:f>IF(C39="Q1 FY27","Q1 FY27 standardized; issuer cross-check completed","Historical standardized; secondary extraction")</x:f>
        <x:v>Historical standardized; secondary extraction</x:v>
      </x:c>
    </x:row>
    <x:row r="40">
      <x:c r="A40" s="38" t="str">
        <x:f>Raw_Quarterly!A40</x:f>
        <x:v>HCLTech</x:v>
      </x:c>
      <x:c r="B40" s="38" t="str">
        <x:f>Raw_Quarterly!B40</x:f>
        <x:v>Sep-25</x:v>
      </x:c>
      <x:c r="C40" s="38" t="str">
        <x:f>Raw_Quarterly!C40</x:f>
        <x:v>Q2 FY26</x:v>
      </x:c>
      <x:c r="D40" s="39" t="n">
        <x:f>Raw_Quarterly!D40</x:f>
        <x:v>31942</x:v>
      </x:c>
      <x:c r="E40" s="39" t="n">
        <x:f>Raw_Quarterly!E40</x:f>
        <x:v>6545</x:v>
      </x:c>
      <x:c r="F40" s="39" t="n">
        <x:f>Raw_Quarterly!F40</x:f>
        <x:v>4236</x:v>
      </x:c>
      <x:c r="G40" s="40" t="n">
        <x:f>IF(A40=A39,D40/D39-1,"")</x:f>
        <x:v>0.052489373620218105</x:v>
      </x:c>
      <x:c r="H40" s="40" t="n">
        <x:f>IF(A40=A36,D40/D36-1,"")</x:f>
        <x:v>0.10671471138521249</x:v>
      </x:c>
      <x:c r="I40" s="40" t="n">
        <x:f>IFERROR(E40/D40,"")</x:f>
        <x:v>0.2049026360278004</x:v>
      </x:c>
      <x:c r="J40" s="40" t="n">
        <x:f>IFERROR(F40/D40,"")</x:f>
        <x:v>0.1326153653496963</x:v>
      </x:c>
      <x:c r="K40" s="41" t="str">
        <x:f>"INR Cr"</x:f>
        <x:v>INR Cr</x:v>
      </x:c>
      <x:c r="L40" s="41" t="str">
        <x:f>IF(C40="Q1 FY27","Q1 FY27 standardized; issuer cross-check completed","Historical standardized; secondary extraction")</x:f>
        <x:v>Historical standardized; secondary extraction</x:v>
      </x:c>
    </x:row>
    <x:row r="41">
      <x:c r="A41" s="38" t="str">
        <x:f>Raw_Quarterly!A41</x:f>
        <x:v>HCLTech</x:v>
      </x:c>
      <x:c r="B41" s="38" t="str">
        <x:f>Raw_Quarterly!B41</x:f>
        <x:v>Dec-25</x:v>
      </x:c>
      <x:c r="C41" s="38" t="str">
        <x:f>Raw_Quarterly!C41</x:f>
        <x:v>Q3 FY26</x:v>
      </x:c>
      <x:c r="D41" s="39" t="n">
        <x:f>Raw_Quarterly!D41</x:f>
        <x:v>33872</x:v>
      </x:c>
      <x:c r="E41" s="39" t="n">
        <x:f>Raw_Quarterly!E41</x:f>
        <x:v>7412</x:v>
      </x:c>
      <x:c r="F41" s="39" t="n">
        <x:f>Raw_Quarterly!F41</x:f>
        <x:v>4082</x:v>
      </x:c>
      <x:c r="G41" s="40" t="n">
        <x:f>IF(A41=A40,D41/D40-1,"")</x:f>
        <x:v>0.060422014902009824</x:v>
      </x:c>
      <x:c r="H41" s="40" t="n">
        <x:f>IF(A41=A37,D41/D37-1,"")</x:f>
        <x:v>0.1332218133154901</x:v>
      </x:c>
      <x:c r="I41" s="40" t="n">
        <x:f>IFERROR(E41/D41,"")</x:f>
        <x:v>0.21882380727444498</x:v>
      </x:c>
      <x:c r="J41" s="40" t="n">
        <x:f>IFERROR(F41/D41,"")</x:f>
        <x:v>0.12051251771374587</x:v>
      </x:c>
      <x:c r="K41" s="41" t="str">
        <x:f>"INR Cr"</x:f>
        <x:v>INR Cr</x:v>
      </x:c>
      <x:c r="L41" s="41" t="str">
        <x:f>IF(C41="Q1 FY27","Q1 FY27 standardized; issuer cross-check completed","Historical standardized; secondary extraction")</x:f>
        <x:v>Historical standardized; secondary extraction</x:v>
      </x:c>
    </x:row>
    <x:row r="42">
      <x:c r="A42" s="38" t="str">
        <x:f>Raw_Quarterly!A42</x:f>
        <x:v>HCLTech</x:v>
      </x:c>
      <x:c r="B42" s="38" t="str">
        <x:f>Raw_Quarterly!B42</x:f>
        <x:v>Mar-26</x:v>
      </x:c>
      <x:c r="C42" s="38" t="str">
        <x:f>Raw_Quarterly!C42</x:f>
        <x:v>Q4 FY26</x:v>
      </x:c>
      <x:c r="D42" s="39" t="n">
        <x:f>Raw_Quarterly!D42</x:f>
        <x:v>33981</x:v>
      </x:c>
      <x:c r="E42" s="39" t="n">
        <x:f>Raw_Quarterly!E42</x:f>
        <x:v>6712</x:v>
      </x:c>
      <x:c r="F42" s="39" t="n">
        <x:f>Raw_Quarterly!F42</x:f>
        <x:v>4490</x:v>
      </x:c>
      <x:c r="G42" s="40" t="n">
        <x:f>IF(A42=A41,D42/D41-1,"")</x:f>
        <x:v>0.0032179971658006234</x:v>
      </x:c>
      <x:c r="H42" s="40" t="n">
        <x:f>IF(A42=A38,D42/D38-1,"")</x:f>
        <x:v>0.12348740329299734</x:v>
      </x:c>
      <x:c r="I42" s="40" t="n">
        <x:f>IFERROR(E42/D42,"")</x:f>
        <x:v>0.1975221447279362</x:v>
      </x:c>
      <x:c r="J42" s="40" t="n">
        <x:f>IFERROR(F42/D42,"")</x:f>
        <x:v>0.13213266237014804</x:v>
      </x:c>
      <x:c r="K42" s="41" t="str">
        <x:f>"INR Cr"</x:f>
        <x:v>INR Cr</x:v>
      </x:c>
      <x:c r="L42" s="41" t="str">
        <x:f>IF(C42="Q1 FY27","Q1 FY27 standardized; issuer cross-check completed","Historical standardized; secondary extraction")</x:f>
        <x:v>Historical standardized; secondary extraction</x:v>
      </x:c>
    </x:row>
    <x:row r="43">
      <x:c r="A43" s="38" t="str">
        <x:f>Raw_Quarterly!A43</x:f>
        <x:v>HCLTech</x:v>
      </x:c>
      <x:c r="B43" s="38" t="str">
        <x:f>Raw_Quarterly!B43</x:f>
        <x:v>Jun-26</x:v>
      </x:c>
      <x:c r="C43" s="38" t="str">
        <x:f>Raw_Quarterly!C43</x:f>
        <x:v>Q1 FY27</x:v>
      </x:c>
      <x:c r="D43" s="39" t="n">
        <x:f>Raw_Quarterly!D43</x:f>
        <x:v>34579</x:v>
      </x:c>
      <x:c r="E43" s="39" t="n">
        <x:f>Raw_Quarterly!E43</x:f>
        <x:v>6870</x:v>
      </x:c>
      <x:c r="F43" s="39" t="n">
        <x:f>Raw_Quarterly!F43</x:f>
        <x:v>4626</x:v>
      </x:c>
      <x:c r="G43" s="40" t="n">
        <x:f>IF(A43=A42,D43/D42-1,"")</x:f>
        <x:v>0.01759806950943177</x:v>
      </x:c>
      <x:c r="H43" s="40" t="n">
        <x:f>IF(A43=A39,D43/D39-1,"")</x:f>
        <x:v>0.1393785627203532</x:v>
      </x:c>
      <x:c r="I43" s="40" t="n">
        <x:f>IFERROR(E43/D43,"")</x:f>
        <x:v>0.1986754966887417</x:v>
      </x:c>
      <x:c r="J43" s="40" t="n">
        <x:f>IFERROR(F43/D43,"")</x:f>
        <x:v>0.1337806182943405</x:v>
      </x:c>
      <x:c r="K43" s="41" t="str">
        <x:f>"INR Cr"</x:f>
        <x:v>INR Cr</x:v>
      </x:c>
      <x:c r="L43" s="41" t="str">
        <x:f>IF(C43="Q1 FY27","Q1 FY27 standardized; issuer cross-check completed","Historical standardized; secondary extraction")</x:f>
        <x:v>Q1 FY27 standardized; issuer cross-check completed</x:v>
      </x:c>
    </x:row>
    <x:row r="44">
      <x:c r="A44" s="38" t="str">
        <x:f>Raw_Quarterly!A44</x:f>
        <x:v>Wipro</x:v>
      </x:c>
      <x:c r="B44" s="38" t="str">
        <x:f>Raw_Quarterly!B44</x:f>
        <x:v>Jun-23</x:v>
      </x:c>
      <x:c r="C44" s="38" t="str">
        <x:f>Raw_Quarterly!C44</x:f>
        <x:v>Q1 FY24</x:v>
      </x:c>
      <x:c r="D44" s="39" t="n">
        <x:f>Raw_Quarterly!D44</x:f>
        <x:v>22831</x:v>
      </x:c>
      <x:c r="E44" s="39" t="n">
        <x:f>Raw_Quarterly!E44</x:f>
        <x:v>4204</x:v>
      </x:c>
      <x:c r="F44" s="39" t="n">
        <x:f>Raw_Quarterly!F44</x:f>
        <x:v>2886</x:v>
      </x:c>
      <x:c r="G44" s="40" t="str">
        <x:f>""</x:f>
      </x:c>
      <x:c r="H44" s="40" t="str">
        <x:f>""</x:f>
      </x:c>
      <x:c r="I44" s="40" t="n">
        <x:f>IFERROR(E44/D44,"")</x:f>
        <x:v>0.1841356050983312</x:v>
      </x:c>
      <x:c r="J44" s="40" t="n">
        <x:f>IFERROR(F44/D44,"")</x:f>
        <x:v>0.1264070780955718</x:v>
      </x:c>
      <x:c r="K44" s="41" t="str">
        <x:f>"INR Cr"</x:f>
        <x:v>INR Cr</x:v>
      </x:c>
      <x:c r="L44" s="41" t="str">
        <x:f>IF(C44="Q1 FY27","Q1 FY27 standardized; issuer cross-check completed","Historical standardized; secondary extraction")</x:f>
        <x:v>Historical standardized; secondary extraction</x:v>
      </x:c>
    </x:row>
    <x:row r="45">
      <x:c r="A45" s="38" t="str">
        <x:f>Raw_Quarterly!A45</x:f>
        <x:v>Wipro</x:v>
      </x:c>
      <x:c r="B45" s="38" t="str">
        <x:f>Raw_Quarterly!B45</x:f>
        <x:v>Sep-23</x:v>
      </x:c>
      <x:c r="C45" s="38" t="str">
        <x:f>Raw_Quarterly!C45</x:f>
        <x:v>Q2 FY24</x:v>
      </x:c>
      <x:c r="D45" s="39" t="n">
        <x:f>Raw_Quarterly!D45</x:f>
        <x:v>22516</x:v>
      </x:c>
      <x:c r="E45" s="39" t="n">
        <x:f>Raw_Quarterly!E45</x:f>
        <x:v>3970</x:v>
      </x:c>
      <x:c r="F45" s="39" t="n">
        <x:f>Raw_Quarterly!F45</x:f>
        <x:v>2667</x:v>
      </x:c>
      <x:c r="G45" s="40" t="n">
        <x:f>IF(A45=A44,D45/D44-1,"")</x:f>
        <x:v>-0.0137970303534668</x:v>
      </x:c>
      <x:c r="H45" s="40" t="str">
        <x:f>""</x:f>
      </x:c>
      <x:c r="I45" s="40" t="n">
        <x:f>IFERROR(E45/D45,"")</x:f>
        <x:v>0.1763190620003553</x:v>
      </x:c>
      <x:c r="J45" s="40" t="n">
        <x:f>IFERROR(F45/D45,"")</x:f>
        <x:v>0.11844910286018831</x:v>
      </x:c>
      <x:c r="K45" s="41" t="str">
        <x:f>"INR Cr"</x:f>
        <x:v>INR Cr</x:v>
      </x:c>
      <x:c r="L45" s="41" t="str">
        <x:f>IF(C45="Q1 FY27","Q1 FY27 standardized; issuer cross-check completed","Historical standardized; secondary extraction")</x:f>
        <x:v>Historical standardized; secondary extraction</x:v>
      </x:c>
    </x:row>
    <x:row r="46">
      <x:c r="A46" s="38" t="str">
        <x:f>Raw_Quarterly!A46</x:f>
        <x:v>Wipro</x:v>
      </x:c>
      <x:c r="B46" s="38" t="str">
        <x:f>Raw_Quarterly!B46</x:f>
        <x:v>Dec-23</x:v>
      </x:c>
      <x:c r="C46" s="38" t="str">
        <x:f>Raw_Quarterly!C46</x:f>
        <x:v>Q3 FY24</x:v>
      </x:c>
      <x:c r="D46" s="39" t="n">
        <x:f>Raw_Quarterly!D46</x:f>
        <x:v>22205</x:v>
      </x:c>
      <x:c r="E46" s="39" t="n">
        <x:f>Raw_Quarterly!E46</x:f>
        <x:v>4198</x:v>
      </x:c>
      <x:c r="F46" s="39" t="n">
        <x:f>Raw_Quarterly!F46</x:f>
        <x:v>2701</x:v>
      </x:c>
      <x:c r="G46" s="40" t="n">
        <x:f>IF(A46=A45,D46/D45-1,"")</x:f>
        <x:v>-0.013812400071060549</x:v>
      </x:c>
      <x:c r="H46" s="40" t="str">
        <x:f>""</x:f>
      </x:c>
      <x:c r="I46" s="40" t="n">
        <x:f>IFERROR(E46/D46,"")</x:f>
        <x:v>0.1890565188020716</x:v>
      </x:c>
      <x:c r="J46" s="40" t="n">
        <x:f>IFERROR(F46/D46,"")</x:f>
        <x:v>0.1216392704345868</x:v>
      </x:c>
      <x:c r="K46" s="41" t="str">
        <x:f>"INR Cr"</x:f>
        <x:v>INR Cr</x:v>
      </x:c>
      <x:c r="L46" s="41" t="str">
        <x:f>IF(C46="Q1 FY27","Q1 FY27 standardized; issuer cross-check completed","Historical standardized; secondary extraction")</x:f>
        <x:v>Historical standardized; secondary extraction</x:v>
      </x:c>
    </x:row>
    <x:row r="47">
      <x:c r="A47" s="38" t="str">
        <x:f>Raw_Quarterly!A47</x:f>
        <x:v>Wipro</x:v>
      </x:c>
      <x:c r="B47" s="38" t="str">
        <x:f>Raw_Quarterly!B47</x:f>
        <x:v>Mar-24</x:v>
      </x:c>
      <x:c r="C47" s="38" t="str">
        <x:f>Raw_Quarterly!C47</x:f>
        <x:v>Q4 FY24</x:v>
      </x:c>
      <x:c r="D47" s="39" t="n">
        <x:f>Raw_Quarterly!D47</x:f>
        <x:v>22208</x:v>
      </x:c>
      <x:c r="E47" s="39" t="n">
        <x:f>Raw_Quarterly!E47</x:f>
        <x:v>4381</x:v>
      </x:c>
      <x:c r="F47" s="39" t="n">
        <x:f>Raw_Quarterly!F47</x:f>
        <x:v>2858</x:v>
      </x:c>
      <x:c r="G47" s="40" t="n">
        <x:f>IF(A47=A46,D47/D46-1,"")</x:f>
        <x:v>0.0001351047061473043</x:v>
      </x:c>
      <x:c r="H47" s="40" t="str">
        <x:f>""</x:f>
      </x:c>
      <x:c r="I47" s="40" t="n">
        <x:f>IFERROR(E47/D47,"")</x:f>
        <x:v>0.19727125360230546</x:v>
      </x:c>
      <x:c r="J47" s="40" t="n">
        <x:f>IFERROR(F47/D47,"")</x:f>
        <x:v>0.12869236311239193</x:v>
      </x:c>
      <x:c r="K47" s="41" t="str">
        <x:f>"INR Cr"</x:f>
        <x:v>INR Cr</x:v>
      </x:c>
      <x:c r="L47" s="41" t="str">
        <x:f>IF(C47="Q1 FY27","Q1 FY27 standardized; issuer cross-check completed","Historical standardized; secondary extraction")</x:f>
        <x:v>Historical standardized; secondary extraction</x:v>
      </x:c>
    </x:row>
    <x:row r="48">
      <x:c r="A48" s="38" t="str">
        <x:f>Raw_Quarterly!A48</x:f>
        <x:v>Wipro</x:v>
      </x:c>
      <x:c r="B48" s="38" t="str">
        <x:f>Raw_Quarterly!B48</x:f>
        <x:v>Jun-24</x:v>
      </x:c>
      <x:c r="C48" s="38" t="str">
        <x:f>Raw_Quarterly!C48</x:f>
        <x:v>Q1 FY25</x:v>
      </x:c>
      <x:c r="D48" s="39" t="n">
        <x:f>Raw_Quarterly!D48</x:f>
        <x:v>21964</x:v>
      </x:c>
      <x:c r="E48" s="39" t="n">
        <x:f>Raw_Quarterly!E48</x:f>
        <x:v>4350</x:v>
      </x:c>
      <x:c r="F48" s="39" t="n">
        <x:f>Raw_Quarterly!F48</x:f>
        <x:v>3037</x:v>
      </x:c>
      <x:c r="G48" s="40" t="n">
        <x:f>IF(A48=A47,D48/D47-1,"")</x:f>
        <x:v>-0.010987031700288141</x:v>
      </x:c>
      <x:c r="H48" s="40" t="n">
        <x:f>IF(A48=A44,D48/D44-1,"")</x:f>
        <x:v>-0.03797468354430378</x:v>
      </x:c>
      <x:c r="I48" s="40" t="n">
        <x:f>IFERROR(E48/D48,"")</x:f>
        <x:v>0.19805135676561647</x:v>
      </x:c>
      <x:c r="J48" s="40" t="n">
        <x:f>IFERROR(F48/D48,"")</x:f>
        <x:v>0.13827171735567292</x:v>
      </x:c>
      <x:c r="K48" s="41" t="str">
        <x:f>"INR Cr"</x:f>
        <x:v>INR Cr</x:v>
      </x:c>
      <x:c r="L48" s="41" t="str">
        <x:f>IF(C48="Q1 FY27","Q1 FY27 standardized; issuer cross-check completed","Historical standardized; secondary extraction")</x:f>
        <x:v>Historical standardized; secondary extraction</x:v>
      </x:c>
    </x:row>
    <x:row r="49">
      <x:c r="A49" s="38" t="str">
        <x:f>Raw_Quarterly!A49</x:f>
        <x:v>Wipro</x:v>
      </x:c>
      <x:c r="B49" s="38" t="str">
        <x:f>Raw_Quarterly!B49</x:f>
        <x:v>Sep-24</x:v>
      </x:c>
      <x:c r="C49" s="38" t="str">
        <x:f>Raw_Quarterly!C49</x:f>
        <x:v>Q2 FY25</x:v>
      </x:c>
      <x:c r="D49" s="39" t="n">
        <x:f>Raw_Quarterly!D49</x:f>
        <x:v>22302</x:v>
      </x:c>
      <x:c r="E49" s="39" t="n">
        <x:f>Raw_Quarterly!E49</x:f>
        <x:v>4503</x:v>
      </x:c>
      <x:c r="F49" s="39" t="n">
        <x:f>Raw_Quarterly!F49</x:f>
        <x:v>3227</x:v>
      </x:c>
      <x:c r="G49" s="40" t="n">
        <x:f>IF(A49=A48,D49/D48-1,"")</x:f>
        <x:v>0.015388818065926069</x:v>
      </x:c>
      <x:c r="H49" s="40" t="n">
        <x:f>IF(A49=A45,D49/D45-1,"")</x:f>
        <x:v>-0.009504352460472543</x:v>
      </x:c>
      <x:c r="I49" s="40" t="n">
        <x:f>IFERROR(E49/D49,"")</x:f>
        <x:v>0.2019101425881087</x:v>
      </x:c>
      <x:c r="J49" s="40" t="n">
        <x:f>IFERROR(F49/D49,"")</x:f>
        <x:v>0.14469554300062776</x:v>
      </x:c>
      <x:c r="K49" s="41" t="str">
        <x:f>"INR Cr"</x:f>
        <x:v>INR Cr</x:v>
      </x:c>
      <x:c r="L49" s="41" t="str">
        <x:f>IF(C49="Q1 FY27","Q1 FY27 standardized; issuer cross-check completed","Historical standardized; secondary extraction")</x:f>
        <x:v>Historical standardized; secondary extraction</x:v>
      </x:c>
    </x:row>
    <x:row r="50">
      <x:c r="A50" s="38" t="str">
        <x:f>Raw_Quarterly!A50</x:f>
        <x:v>Wipro</x:v>
      </x:c>
      <x:c r="B50" s="38" t="str">
        <x:f>Raw_Quarterly!B50</x:f>
        <x:v>Dec-24</x:v>
      </x:c>
      <x:c r="C50" s="38" t="str">
        <x:f>Raw_Quarterly!C50</x:f>
        <x:v>Q3 FY25</x:v>
      </x:c>
      <x:c r="D50" s="39" t="n">
        <x:f>Raw_Quarterly!D50</x:f>
        <x:v>22319</x:v>
      </x:c>
      <x:c r="E50" s="39" t="n">
        <x:f>Raw_Quarterly!E50</x:f>
        <x:v>4540</x:v>
      </x:c>
      <x:c r="F50" s="39" t="n">
        <x:f>Raw_Quarterly!F50</x:f>
        <x:v>3367</x:v>
      </x:c>
      <x:c r="G50" s="40" t="n">
        <x:f>IF(A50=A49,D50/D49-1,"")</x:f>
        <x:v>0.0007622634741277778</x:v>
      </x:c>
      <x:c r="H50" s="40" t="n">
        <x:f>IF(A50=A46,D50/D46-1,"")</x:f>
        <x:v>0.005133978833596009</x:v>
      </x:c>
      <x:c r="I50" s="40" t="n">
        <x:f>IFERROR(E50/D50,"")</x:f>
        <x:v>0.2034141314575026</x:v>
      </x:c>
      <x:c r="J50" s="40" t="n">
        <x:f>IFERROR(F50/D50,"")</x:f>
        <x:v>0.15085801335185267</x:v>
      </x:c>
      <x:c r="K50" s="41" t="str">
        <x:f>"INR Cr"</x:f>
        <x:v>INR Cr</x:v>
      </x:c>
      <x:c r="L50" s="41" t="str">
        <x:f>IF(C50="Q1 FY27","Q1 FY27 standardized; issuer cross-check completed","Historical standardized; secondary extraction")</x:f>
        <x:v>Historical standardized; secondary extraction</x:v>
      </x:c>
    </x:row>
    <x:row r="51">
      <x:c r="A51" s="38" t="str">
        <x:f>Raw_Quarterly!A51</x:f>
        <x:v>Wipro</x:v>
      </x:c>
      <x:c r="B51" s="38" t="str">
        <x:f>Raw_Quarterly!B51</x:f>
        <x:v>Mar-25</x:v>
      </x:c>
      <x:c r="C51" s="38" t="str">
        <x:f>Raw_Quarterly!C51</x:f>
        <x:v>Q4 FY25</x:v>
      </x:c>
      <x:c r="D51" s="39" t="n">
        <x:f>Raw_Quarterly!D51</x:f>
        <x:v>22504</x:v>
      </x:c>
      <x:c r="E51" s="39" t="n">
        <x:f>Raw_Quarterly!E51</x:f>
        <x:v>4624</x:v>
      </x:c>
      <x:c r="F51" s="39" t="n">
        <x:f>Raw_Quarterly!F51</x:f>
        <x:v>3588</x:v>
      </x:c>
      <x:c r="G51" s="40" t="n">
        <x:f>IF(A51=A50,D51/D50-1,"")</x:f>
        <x:v>0.008288901832519402</x:v>
      </x:c>
      <x:c r="H51" s="40" t="n">
        <x:f>IF(A51=A47,D51/D47-1,"")</x:f>
        <x:v>0.013328530259365978</x:v>
      </x:c>
      <x:c r="I51" s="40" t="n">
        <x:f>IFERROR(E51/D51,"")</x:f>
        <x:v>0.20547458229648063</x:v>
      </x:c>
      <x:c r="J51" s="40" t="n">
        <x:f>IFERROR(F51/D51,"")</x:f>
        <x:v>0.15943832207607536</x:v>
      </x:c>
      <x:c r="K51" s="41" t="str">
        <x:f>"INR Cr"</x:f>
        <x:v>INR Cr</x:v>
      </x:c>
      <x:c r="L51" s="41" t="str">
        <x:f>IF(C51="Q1 FY27","Q1 FY27 standardized; issuer cross-check completed","Historical standardized; secondary extraction")</x:f>
        <x:v>Historical standardized; secondary extraction</x:v>
      </x:c>
    </x:row>
    <x:row r="52">
      <x:c r="A52" s="38" t="str">
        <x:f>Raw_Quarterly!A52</x:f>
        <x:v>Wipro</x:v>
      </x:c>
      <x:c r="B52" s="38" t="str">
        <x:f>Raw_Quarterly!B52</x:f>
        <x:v>Jun-25</x:v>
      </x:c>
      <x:c r="C52" s="38" t="str">
        <x:f>Raw_Quarterly!C52</x:f>
        <x:v>Q1 FY26</x:v>
      </x:c>
      <x:c r="D52" s="39" t="n">
        <x:f>Raw_Quarterly!D52</x:f>
        <x:v>22135</x:v>
      </x:c>
      <x:c r="E52" s="39" t="n">
        <x:f>Raw_Quarterly!E52</x:f>
        <x:v>4233</x:v>
      </x:c>
      <x:c r="F52" s="39" t="n">
        <x:f>Raw_Quarterly!F52</x:f>
        <x:v>3336</x:v>
      </x:c>
      <x:c r="G52" s="40" t="n">
        <x:f>IF(A52=A51,D52/D51-1,"")</x:f>
        <x:v>-0.016397084962673336</x:v>
      </x:c>
      <x:c r="H52" s="40" t="n">
        <x:f>IF(A52=A48,D52/D48-1,"")</x:f>
        <x:v>0.007785467128027745</x:v>
      </x:c>
      <x:c r="I52" s="40" t="n">
        <x:f>IFERROR(E52/D52,"")</x:f>
        <x:v>0.19123559972893608</x:v>
      </x:c>
      <x:c r="J52" s="40" t="n">
        <x:f>IFERROR(F52/D52,"")</x:f>
        <x:v>0.15071154280551163</x:v>
      </x:c>
      <x:c r="K52" s="41" t="str">
        <x:f>"INR Cr"</x:f>
        <x:v>INR Cr</x:v>
      </x:c>
      <x:c r="L52" s="41" t="str">
        <x:f>IF(C52="Q1 FY27","Q1 FY27 standardized; issuer cross-check completed","Historical standardized; secondary extraction")</x:f>
        <x:v>Historical standardized; secondary extraction</x:v>
      </x:c>
    </x:row>
    <x:row r="53">
      <x:c r="A53" s="38" t="str">
        <x:f>Raw_Quarterly!A53</x:f>
        <x:v>Wipro</x:v>
      </x:c>
      <x:c r="B53" s="38" t="str">
        <x:f>Raw_Quarterly!B53</x:f>
        <x:v>Sep-25</x:v>
      </x:c>
      <x:c r="C53" s="38" t="str">
        <x:f>Raw_Quarterly!C53</x:f>
        <x:v>Q2 FY26</x:v>
      </x:c>
      <x:c r="D53" s="39" t="n">
        <x:f>Raw_Quarterly!D53</x:f>
        <x:v>22697</x:v>
      </x:c>
      <x:c r="E53" s="39" t="n">
        <x:f>Raw_Quarterly!E53</x:f>
        <x:v>4372</x:v>
      </x:c>
      <x:c r="F53" s="39" t="n">
        <x:f>Raw_Quarterly!F53</x:f>
        <x:v>3262</x:v>
      </x:c>
      <x:c r="G53" s="40" t="n">
        <x:f>IF(A53=A52,D53/D52-1,"")</x:f>
        <x:v>0.025389654393494387</x:v>
      </x:c>
      <x:c r="H53" s="40" t="n">
        <x:f>IF(A53=A49,D53/D49-1,"")</x:f>
        <x:v>0.017711416016500836</x:v>
      </x:c>
      <x:c r="I53" s="40" t="n">
        <x:f>IFERROR(E53/D53,"")</x:f>
        <x:v>0.19262457593514562</x:v>
      </x:c>
      <x:c r="J53" s="40" t="n">
        <x:f>IFERROR(F53/D53,"")</x:f>
        <x:v>0.14371943428646958</x:v>
      </x:c>
      <x:c r="K53" s="41" t="str">
        <x:f>"INR Cr"</x:f>
        <x:v>INR Cr</x:v>
      </x:c>
      <x:c r="L53" s="41" t="str">
        <x:f>IF(C53="Q1 FY27","Q1 FY27 standardized; issuer cross-check completed","Historical standardized; secondary extraction")</x:f>
        <x:v>Historical standardized; secondary extraction</x:v>
      </x:c>
    </x:row>
    <x:row r="54">
      <x:c r="A54" s="38" t="str">
        <x:f>Raw_Quarterly!A54</x:f>
        <x:v>Wipro</x:v>
      </x:c>
      <x:c r="B54" s="38" t="str">
        <x:f>Raw_Quarterly!B54</x:f>
        <x:v>Dec-25</x:v>
      </x:c>
      <x:c r="C54" s="38" t="str">
        <x:f>Raw_Quarterly!C54</x:f>
        <x:v>Q3 FY26</x:v>
      </x:c>
      <x:c r="D54" s="39" t="n">
        <x:f>Raw_Quarterly!D54</x:f>
        <x:v>23556</x:v>
      </x:c>
      <x:c r="E54" s="39" t="n">
        <x:f>Raw_Quarterly!E54</x:f>
        <x:v>4296</x:v>
      </x:c>
      <x:c r="F54" s="39" t="n">
        <x:f>Raw_Quarterly!F54</x:f>
        <x:v>3145</x:v>
      </x:c>
      <x:c r="G54" s="40" t="n">
        <x:f>IF(A54=A53,D54/D53-1,"")</x:f>
        <x:v>0.03784641142001144</x:v>
      </x:c>
      <x:c r="H54" s="40" t="n">
        <x:f>IF(A54=A50,D54/D50-1,"")</x:f>
        <x:v>0.05542363009095386</x:v>
      </x:c>
      <x:c r="I54" s="40" t="n">
        <x:f>IFERROR(E54/D54,"")</x:f>
        <x:v>0.1823739174732552</x:v>
      </x:c>
      <x:c r="J54" s="40" t="n">
        <x:f>IFERROR(F54/D54,"")</x:f>
        <x:v>0.1335116318560027</x:v>
      </x:c>
      <x:c r="K54" s="41" t="str">
        <x:f>"INR Cr"</x:f>
        <x:v>INR Cr</x:v>
      </x:c>
      <x:c r="L54" s="41" t="str">
        <x:f>IF(C54="Q1 FY27","Q1 FY27 standardized; issuer cross-check completed","Historical standardized; secondary extraction")</x:f>
        <x:v>Historical standardized; secondary extraction</x:v>
      </x:c>
    </x:row>
    <x:row r="55">
      <x:c r="A55" s="38" t="str">
        <x:f>Raw_Quarterly!A55</x:f>
        <x:v>Wipro</x:v>
      </x:c>
      <x:c r="B55" s="38" t="str">
        <x:f>Raw_Quarterly!B55</x:f>
        <x:v>Mar-26</x:v>
      </x:c>
      <x:c r="C55" s="38" t="str">
        <x:f>Raw_Quarterly!C55</x:f>
        <x:v>Q4 FY26</x:v>
      </x:c>
      <x:c r="D55" s="39" t="n">
        <x:f>Raw_Quarterly!D55</x:f>
        <x:v>24236</x:v>
      </x:c>
      <x:c r="E55" s="39" t="n">
        <x:f>Raw_Quarterly!E55</x:f>
        <x:v>4909</x:v>
      </x:c>
      <x:c r="F55" s="39" t="n">
        <x:f>Raw_Quarterly!F55</x:f>
        <x:v>3522</x:v>
      </x:c>
      <x:c r="G55" s="40" t="n">
        <x:f>IF(A55=A54,D55/D54-1,"")</x:f>
        <x:v>0.02886737986075727</x:v>
      </x:c>
      <x:c r="H55" s="40" t="n">
        <x:f>IF(A55=A51,D55/D51-1,"")</x:f>
        <x:v>0.0769640952719517</x:v>
      </x:c>
      <x:c r="I55" s="40" t="n">
        <x:f>IFERROR(E55/D55,"")</x:f>
        <x:v>0.20254992573031855</x:v>
      </x:c>
      <x:c r="J55" s="40" t="n">
        <x:f>IFERROR(F55/D55,"")</x:f>
        <x:v>0.14532101006766793</x:v>
      </x:c>
      <x:c r="K55" s="41" t="str">
        <x:f>"INR Cr"</x:f>
        <x:v>INR Cr</x:v>
      </x:c>
      <x:c r="L55" s="41" t="str">
        <x:f>IF(C55="Q1 FY27","Q1 FY27 standardized; issuer cross-check completed","Historical standardized; secondary extraction")</x:f>
        <x:v>Historical standardized; secondary extraction</x:v>
      </x:c>
    </x:row>
    <x:row r="56">
      <x:c r="A56" s="38" t="str">
        <x:f>Raw_Quarterly!A56</x:f>
        <x:v>Wipro</x:v>
      </x:c>
      <x:c r="B56" s="38" t="str">
        <x:f>Raw_Quarterly!B56</x:f>
        <x:v>Jun-26</x:v>
      </x:c>
      <x:c r="C56" s="38" t="str">
        <x:f>Raw_Quarterly!C56</x:f>
        <x:v>Q1 FY27</x:v>
      </x:c>
      <x:c r="D56" s="39" t="n">
        <x:f>Raw_Quarterly!D56</x:f>
        <x:v>24479</x:v>
      </x:c>
      <x:c r="E56" s="39" t="n">
        <x:f>Raw_Quarterly!E56</x:f>
        <x:v>4633</x:v>
      </x:c>
      <x:c r="F56" s="39" t="n">
        <x:f>Raw_Quarterly!F56</x:f>
        <x:v>3356</x:v>
      </x:c>
      <x:c r="G56" s="40" t="n">
        <x:f>IF(A56=A55,D56/D55-1,"")</x:f>
        <x:v>0.010026406997854398</x:v>
      </x:c>
      <x:c r="H56" s="40" t="n">
        <x:f>IF(A56=A52,D56/D52-1,"")</x:f>
        <x:v>0.10589564038852495</x:v>
      </x:c>
      <x:c r="I56" s="40" t="n">
        <x:f>IFERROR(E56/D56,"")</x:f>
        <x:v>0.18926426733118182</x:v>
      </x:c>
      <x:c r="J56" s="40" t="n">
        <x:f>IFERROR(F56/D56,"")</x:f>
        <x:v>0.13709710363985456</x:v>
      </x:c>
      <x:c r="K56" s="41" t="str">
        <x:f>"INR Cr"</x:f>
        <x:v>INR Cr</x:v>
      </x:c>
      <x:c r="L56" s="41" t="str">
        <x:f>IF(C56="Q1 FY27","Q1 FY27 standardized; issuer cross-check completed","Historical standardized; secondary extraction")</x:f>
        <x:v>Q1 FY27 standardized; issuer cross-check completed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9732e53f9984e9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9" hidden="0" customWidth="1"/>
    <x:col min="4" max="4" width="17" hidden="0" customWidth="1"/>
    <x:col min="5" max="5" width="58" hidden="0" customWidth="1"/>
    <x:col min="6" max="6" width="62" hidden="0" customWidth="1"/>
    <x:col min="7" max="7" width="26" hidden="0" customWidth="1"/>
  </x:cols>
  <x:sheetData>
    <x:row r="1" ht="26" customHeight="1">
      <x:c r="A1" s="4" t="str">
        <x:v>Q1 FY27 Current KPI Validation Snapshot</x:v>
      </x:c>
    </x:row>
    <x:row r="2">
      <x:c r="A2" s="9" t="str">
        <x:v>Issuer-release based operating/strategic indicators used to complement the common historical financial series.</x:v>
      </x:c>
    </x:row>
    <x:row r="4">
      <x:c r="A4" s="19" t="str">
        <x:v>Company</x:v>
      </x:c>
      <x:c r="B4" s="19" t="str">
        <x:v>Period</x:v>
      </x:c>
      <x:c r="C4" s="19" t="str">
        <x:v>Metric</x:v>
      </x:c>
      <x:c r="D4" s="19" t="str">
        <x:v>Value</x:v>
      </x:c>
      <x:c r="E4" s="19" t="str">
        <x:v>Source / Validation Note</x:v>
      </x:c>
      <x:c r="F4" s="19" t="str">
        <x:v>Source URL</x:v>
      </x:c>
      <x:c r="G4" s="19" t="str">
        <x:v>Source Basis</x:v>
      </x:c>
    </x:row>
    <x:row r="5">
      <x:c r="A5" s="14" t="str">
        <x:v>TCS</x:v>
      </x:c>
      <x:c r="B5" s="14" t="str">
        <x:v>Q1 FY27</x:v>
      </x:c>
      <x:c r="C5" s="14" t="str">
        <x:v>Revenue (INR Cr)</x:v>
      </x:c>
      <x:c r="D5" s="48" t="n">
        <x:v>72275</x:v>
      </x:c>
      <x:c r="E5" s="14" t="str">
        <x:v>Company issuer release</x:v>
      </x:c>
      <x:c r="F5" s="14" t="str">
        <x:v>https://www.tcs.com/who-we-are/newsroom/press-release/tcs-financial-results-q1-fy-2027</x:v>
      </x:c>
      <x:c r="G5" s="14" t="str">
        <x:v>Primary</x:v>
      </x:c>
    </x:row>
    <x:row r="6">
      <x:c r="A6" s="14" t="str">
        <x:v>TCS</x:v>
      </x:c>
      <x:c r="B6" s="14" t="str">
        <x:v>Q1 FY27</x:v>
      </x:c>
      <x:c r="C6" s="14" t="str">
        <x:v>Revenue (USD m)</x:v>
      </x:c>
      <x:c r="D6" s="48" t="n">
        <x:v>7624</x:v>
      </x:c>
      <x:c r="E6" s="14" t="str">
        <x:v>Company issuer release</x:v>
      </x:c>
      <x:c r="F6" s="14" t="str">
        <x:v>https://www.tcs.com/who-we-are/newsroom/press-release/tcs-financial-results-q1-fy-2027</x:v>
      </x:c>
      <x:c r="G6" s="14" t="str">
        <x:v>Primary</x:v>
      </x:c>
    </x:row>
    <x:row r="7">
      <x:c r="A7" s="14" t="str">
        <x:v>TCS</x:v>
      </x:c>
      <x:c r="B7" s="14" t="str">
        <x:v>Q1 FY27</x:v>
      </x:c>
      <x:c r="C7" s="14" t="str">
        <x:v>Constant-currency YoY (%)</x:v>
      </x:c>
      <x:c r="D7" s="48" t="n">
        <x:v>3.2</x:v>
      </x:c>
      <x:c r="E7" s="14" t="str">
        <x:v>Company issuer release</x:v>
      </x:c>
      <x:c r="F7" s="14" t="str">
        <x:v>https://www.tcs.com/who-we-are/newsroom/press-release/tcs-financial-results-q1-fy-2027</x:v>
      </x:c>
      <x:c r="G7" s="14" t="str">
        <x:v>Primary</x:v>
      </x:c>
    </x:row>
    <x:row r="8">
      <x:c r="A8" s="14" t="str">
        <x:v>TCS</x:v>
      </x:c>
      <x:c r="B8" s="14" t="str">
        <x:v>Q1 FY27</x:v>
      </x:c>
      <x:c r="C8" s="14" t="str">
        <x:v>Operating margin (%)</x:v>
      </x:c>
      <x:c r="D8" s="48" t="n">
        <x:v>24</x:v>
      </x:c>
      <x:c r="E8" s="14" t="str">
        <x:v>Company issuer release</x:v>
      </x:c>
      <x:c r="F8" s="14" t="str">
        <x:v>https://www.tcs.com/who-we-are/newsroom/press-release/tcs-financial-results-q1-fy-2027</x:v>
      </x:c>
      <x:c r="G8" s="14" t="str">
        <x:v>Primary</x:v>
      </x:c>
    </x:row>
    <x:row r="9">
      <x:c r="A9" s="14" t="str">
        <x:v>TCS</x:v>
      </x:c>
      <x:c r="B9" s="14" t="str">
        <x:v>Q1 FY27</x:v>
      </x:c>
      <x:c r="C9" s="14" t="str">
        <x:v>Net income (USD m)</x:v>
      </x:c>
      <x:c r="D9" s="48" t="n">
        <x:v>1460</x:v>
      </x:c>
      <x:c r="E9" s="14" t="str">
        <x:v>Company issuer release</x:v>
      </x:c>
      <x:c r="F9" s="14" t="str">
        <x:v>https://www.tcs.com/who-we-are/newsroom/press-release/tcs-financial-results-q1-fy-2027</x:v>
      </x:c>
      <x:c r="G9" s="14" t="str">
        <x:v>Primary</x:v>
      </x:c>
    </x:row>
    <x:row r="10">
      <x:c r="A10" s="14" t="str">
        <x:v>TCS</x:v>
      </x:c>
      <x:c r="B10" s="14" t="str">
        <x:v>Q1 FY27</x:v>
      </x:c>
      <x:c r="C10" s="14" t="str">
        <x:v>TCV (USD bn)</x:v>
      </x:c>
      <x:c r="D10" s="48" t="n">
        <x:v>9.5</x:v>
      </x:c>
      <x:c r="E10" s="14" t="str">
        <x:v>Company issuer release</x:v>
      </x:c>
      <x:c r="F10" s="14" t="str">
        <x:v>https://www.tcs.com/who-we-are/newsroom/press-release/tcs-financial-results-q1-fy-2027</x:v>
      </x:c>
      <x:c r="G10" s="14" t="str">
        <x:v>Primary</x:v>
      </x:c>
    </x:row>
    <x:row r="11">
      <x:c r="A11" s="14" t="str">
        <x:v>TCS</x:v>
      </x:c>
      <x:c r="B11" s="14" t="str">
        <x:v>Q1 FY27</x:v>
      </x:c>
      <x:c r="C11" s="14" t="str">
        <x:v>Annualised AI revenue (USD bn)</x:v>
      </x:c>
      <x:c r="D11" s="48" t="n">
        <x:v>2.6</x:v>
      </x:c>
      <x:c r="E11" s="14" t="str">
        <x:v>Company issuer release</x:v>
      </x:c>
      <x:c r="F11" s="14" t="str">
        <x:v>https://www.tcs.com/who-we-are/newsroom/press-release/tcs-financial-results-q1-fy-2027</x:v>
      </x:c>
      <x:c r="G11" s="14" t="str">
        <x:v>Primary</x:v>
      </x:c>
    </x:row>
    <x:row r="12">
      <x:c r="A12" s="14" t="str">
        <x:v>TCS</x:v>
      </x:c>
      <x:c r="B12" s="14" t="str">
        <x:v>Q1 FY27</x:v>
      </x:c>
      <x:c r="C12" s="14" t="str">
        <x:v>Headcount</x:v>
      </x:c>
      <x:c r="D12" s="48" t="n">
        <x:v>593798</x:v>
      </x:c>
      <x:c r="E12" s="14" t="str">
        <x:v>Company issuer release</x:v>
      </x:c>
      <x:c r="F12" s="14" t="str">
        <x:v>https://www.tcs.com/who-we-are/newsroom/press-release/tcs-financial-results-q1-fy-2027</x:v>
      </x:c>
      <x:c r="G12" s="14" t="str">
        <x:v>Primary</x:v>
      </x:c>
    </x:row>
    <x:row r="13">
      <x:c r="A13" s="14" t="str">
        <x:v>TCS</x:v>
      </x:c>
      <x:c r="B13" s="14" t="str">
        <x:v>Q1 FY27</x:v>
      </x:c>
      <x:c r="C13" s="14" t="str">
        <x:v>LTM attrition (%)</x:v>
      </x:c>
      <x:c r="D13" s="48" t="n">
        <x:v>13.6</x:v>
      </x:c>
      <x:c r="E13" s="14" t="str">
        <x:v>Company issuer release</x:v>
      </x:c>
      <x:c r="F13" s="14" t="str">
        <x:v>https://www.tcs.com/who-we-are/newsroom/press-release/tcs-financial-results-q1-fy-2027</x:v>
      </x:c>
      <x:c r="G13" s="14" t="str">
        <x:v>Primary</x:v>
      </x:c>
    </x:row>
    <x:row r="14">
      <x:c r="A14" s="14" t="str">
        <x:v>Infosys</x:v>
      </x:c>
      <x:c r="B14" s="14" t="str">
        <x:v>Q1 FY27</x:v>
      </x:c>
      <x:c r="C14" s="14" t="str">
        <x:v>Revenue (INR Cr)</x:v>
      </x:c>
      <x:c r="D14" s="48" t="n">
        <x:v>48211</x:v>
      </x:c>
      <x:c r="E14" s="14" t="str">
        <x:v>Company issuer release</x:v>
      </x:c>
      <x:c r="F14" s="14" t="str">
        <x:v>https://www.infosys.com/investors/reports-filings/quarterly-results/2026-2027/q1.html</x:v>
      </x:c>
      <x:c r="G14" s="14" t="str">
        <x:v>Primary</x:v>
      </x:c>
    </x:row>
    <x:row r="15">
      <x:c r="A15" s="14" t="str">
        <x:v>Infosys</x:v>
      </x:c>
      <x:c r="B15" s="14" t="str">
        <x:v>Q1 FY27</x:v>
      </x:c>
      <x:c r="C15" s="14" t="str">
        <x:v>Operating margin (%)</x:v>
      </x:c>
      <x:c r="D15" s="48" t="n">
        <x:v>21.1</x:v>
      </x:c>
      <x:c r="E15" s="14" t="str">
        <x:v>Company issuer release</x:v>
      </x:c>
      <x:c r="F15" s="14" t="str">
        <x:v>https://www.infosys.com/investors/reports-filings/quarterly-results/2026-2027/q1.html</x:v>
      </x:c>
      <x:c r="G15" s="14" t="str">
        <x:v>Primary</x:v>
      </x:c>
    </x:row>
    <x:row r="16">
      <x:c r="A16" s="14" t="str">
        <x:v>Infosys</x:v>
      </x:c>
      <x:c r="B16" s="14" t="str">
        <x:v>Q1 FY27</x:v>
      </x:c>
      <x:c r="C16" s="14" t="str">
        <x:v>Net profit (INR Cr)</x:v>
      </x:c>
      <x:c r="D16" s="48" t="n">
        <x:v>7769</x:v>
      </x:c>
      <x:c r="E16" s="14" t="str">
        <x:v>Company issuer release</x:v>
      </x:c>
      <x:c r="F16" s="14" t="str">
        <x:v>https://www.infosys.com/investors/reports-filings/quarterly-results/2026-2027/q1.html</x:v>
      </x:c>
      <x:c r="G16" s="14" t="str">
        <x:v>Primary</x:v>
      </x:c>
    </x:row>
    <x:row r="17">
      <x:c r="A17" s="14" t="str">
        <x:v>Infosys</x:v>
      </x:c>
      <x:c r="B17" s="14" t="str">
        <x:v>Q1 FY27</x:v>
      </x:c>
      <x:c r="C17" s="14" t="str">
        <x:v>Headcount</x:v>
      </x:c>
      <x:c r="D17" s="48" t="n">
        <x:v>328062</x:v>
      </x:c>
      <x:c r="E17" s="14" t="str">
        <x:v>Company issuer release</x:v>
      </x:c>
      <x:c r="F17" s="14" t="str">
        <x:v>https://www.infosys.com/investors/reports-filings/quarterly-results/2026-2027/q1.html</x:v>
      </x:c>
      <x:c r="G17" s="14" t="str">
        <x:v>Primary</x:v>
      </x:c>
    </x:row>
    <x:row r="18">
      <x:c r="A18" s="14" t="str">
        <x:v>HCLTech</x:v>
      </x:c>
      <x:c r="B18" s="14" t="str">
        <x:v>Q1 FY27</x:v>
      </x:c>
      <x:c r="C18" s="14" t="str">
        <x:v>Revenue (INR Cr)</x:v>
      </x:c>
      <x:c r="D18" s="48" t="n">
        <x:v>34579</x:v>
      </x:c>
      <x:c r="E18" s="14" t="str">
        <x:v>Company issuer release</x:v>
      </x:c>
      <x:c r="F18" s="14" t="str">
        <x:v>https://www.hcltech.com/en-us/press-releases/hcltech-delivers-robust-q1-led-record-deal-bookings-24-billion</x:v>
      </x:c>
      <x:c r="G18" s="14" t="str">
        <x:v>Primary</x:v>
      </x:c>
    </x:row>
    <x:row r="19">
      <x:c r="A19" s="14" t="str">
        <x:v>HCLTech</x:v>
      </x:c>
      <x:c r="B19" s="14" t="str">
        <x:v>Q1 FY27</x:v>
      </x:c>
      <x:c r="C19" s="14" t="str">
        <x:v>Revenue (USD m)</x:v>
      </x:c>
      <x:c r="D19" s="48" t="n">
        <x:v>3650</x:v>
      </x:c>
      <x:c r="E19" s="14" t="str">
        <x:v>Company issuer release</x:v>
      </x:c>
      <x:c r="F19" s="14" t="str">
        <x:v>https://www.hcltech.com/en-us/press-releases/hcltech-delivers-robust-q1-led-record-deal-bookings-24-billion</x:v>
      </x:c>
      <x:c r="G19" s="14" t="str">
        <x:v>Primary</x:v>
      </x:c>
    </x:row>
    <x:row r="20">
      <x:c r="A20" s="14" t="str">
        <x:v>HCLTech</x:v>
      </x:c>
      <x:c r="B20" s="14" t="str">
        <x:v>Q1 FY27</x:v>
      </x:c>
      <x:c r="C20" s="14" t="str">
        <x:v>Constant-currency YoY (%)</x:v>
      </x:c>
      <x:c r="D20" s="48" t="n">
        <x:v>2.6</x:v>
      </x:c>
      <x:c r="E20" s="14" t="str">
        <x:v>Company issuer release</x:v>
      </x:c>
      <x:c r="F20" s="14" t="str">
        <x:v>https://www.hcltech.com/en-us/press-releases/hcltech-delivers-robust-q1-led-record-deal-bookings-24-billion</x:v>
      </x:c>
      <x:c r="G20" s="14" t="str">
        <x:v>Primary</x:v>
      </x:c>
    </x:row>
    <x:row r="21">
      <x:c r="A21" s="14" t="str">
        <x:v>HCLTech</x:v>
      </x:c>
      <x:c r="B21" s="14" t="str">
        <x:v>Q1 FY27</x:v>
      </x:c>
      <x:c r="C21" s="14" t="str">
        <x:v>EBIT margin (%)</x:v>
      </x:c>
      <x:c r="D21" s="48" t="n">
        <x:v>16.9</x:v>
      </x:c>
      <x:c r="E21" s="14" t="str">
        <x:v>Company issuer release</x:v>
      </x:c>
      <x:c r="F21" s="14" t="str">
        <x:v>https://www.hcltech.com/en-us/press-releases/hcltech-delivers-robust-q1-led-record-deal-bookings-24-billion</x:v>
      </x:c>
      <x:c r="G21" s="14" t="str">
        <x:v>Primary</x:v>
      </x:c>
    </x:row>
    <x:row r="22">
      <x:c r="A22" s="14" t="str">
        <x:v>HCLTech</x:v>
      </x:c>
      <x:c r="B22" s="14" t="str">
        <x:v>Q1 FY27</x:v>
      </x:c>
      <x:c r="C22" s="14" t="str">
        <x:v>Net income (INR Cr)</x:v>
      </x:c>
      <x:c r="D22" s="48" t="n">
        <x:v>4624</x:v>
      </x:c>
      <x:c r="E22" s="14" t="str">
        <x:v>Company issuer release</x:v>
      </x:c>
      <x:c r="F22" s="14" t="str">
        <x:v>https://www.hcltech.com/en-us/press-releases/hcltech-delivers-robust-q1-led-record-deal-bookings-24-billion</x:v>
      </x:c>
      <x:c r="G22" s="14" t="str">
        <x:v>Primary</x:v>
      </x:c>
    </x:row>
    <x:row r="23">
      <x:c r="A23" s="14" t="str">
        <x:v>HCLTech</x:v>
      </x:c>
      <x:c r="B23" s="14" t="str">
        <x:v>Q1 FY27</x:v>
      </x:c>
      <x:c r="C23" s="14" t="str">
        <x:v>TCV (USD m)</x:v>
      </x:c>
      <x:c r="D23" s="48" t="n">
        <x:v>2407</x:v>
      </x:c>
      <x:c r="E23" s="14" t="str">
        <x:v>Company issuer release</x:v>
      </x:c>
      <x:c r="F23" s="14" t="str">
        <x:v>https://www.hcltech.com/en-us/press-releases/hcltech-delivers-robust-q1-led-record-deal-bookings-24-billion</x:v>
      </x:c>
      <x:c r="G23" s="14" t="str">
        <x:v>Primary</x:v>
      </x:c>
    </x:row>
    <x:row r="24">
      <x:c r="A24" s="14" t="str">
        <x:v>HCLTech</x:v>
      </x:c>
      <x:c r="B24" s="14" t="str">
        <x:v>Q1 FY27</x:v>
      </x:c>
      <x:c r="C24" s="14" t="str">
        <x:v>Advanced AI revenue (USD m)</x:v>
      </x:c>
      <x:c r="D24" s="48" t="n">
        <x:v>171</x:v>
      </x:c>
      <x:c r="E24" s="14" t="str">
        <x:v>Company issuer release</x:v>
      </x:c>
      <x:c r="F24" s="14" t="str">
        <x:v>https://www.hcltech.com/en-us/press-releases/hcltech-delivers-robust-q1-led-record-deal-bookings-24-billion</x:v>
      </x:c>
      <x:c r="G24" s="14" t="str">
        <x:v>Primary</x:v>
      </x:c>
    </x:row>
    <x:row r="25">
      <x:c r="A25" s="14" t="str">
        <x:v>HCLTech</x:v>
      </x:c>
      <x:c r="B25" s="14" t="str">
        <x:v>Q1 FY27</x:v>
      </x:c>
      <x:c r="C25" s="14" t="str">
        <x:v>Headcount</x:v>
      </x:c>
      <x:c r="D25" s="48" t="n">
        <x:v>223889</x:v>
      </x:c>
      <x:c r="E25" s="14" t="str">
        <x:v>Issuer release as reported by secondary press; use as validation pending direct fact sheet check</x:v>
      </x:c>
      <x:c r="F25" s="14" t="str">
        <x:v>https://www.hcltech.com/en-us/press-releases/hcltech-delivers-robust-q1-led-record-deal-bookings-24-billion</x:v>
      </x:c>
      <x:c r="G25" s="14" t="str">
        <x:v>Issuer release via secondary</x:v>
      </x:c>
    </x:row>
    <x:row r="26">
      <x:c r="A26" s="14" t="str">
        <x:v>HCLTech</x:v>
      </x:c>
      <x:c r="B26" s="14" t="str">
        <x:v>Q1 FY27</x:v>
      </x:c>
      <x:c r="C26" s="14" t="str">
        <x:v>LTM attrition (%)</x:v>
      </x:c>
      <x:c r="D26" s="48" t="n">
        <x:v>12.7</x:v>
      </x:c>
      <x:c r="E26" s="14" t="str">
        <x:v>Issuer release as reported by secondary press; use as validation pending direct fact sheet check</x:v>
      </x:c>
      <x:c r="F26" s="14" t="str">
        <x:v>https://www.hcltech.com/en-us/press-releases/hcltech-delivers-robust-q1-led-record-deal-bookings-24-billion</x:v>
      </x:c>
      <x:c r="G26" s="14" t="str">
        <x:v>Issuer release via secondary</x:v>
      </x:c>
    </x:row>
    <x:row r="27">
      <x:c r="A27" s="14" t="str">
        <x:v>Wipro</x:v>
      </x:c>
      <x:c r="B27" s="14" t="str">
        <x:v>Q1 FY27</x:v>
      </x:c>
      <x:c r="C27" s="14" t="str">
        <x:v>Revenue (INR Cr)</x:v>
      </x:c>
      <x:c r="D27" s="48" t="n">
        <x:v>24480</x:v>
      </x:c>
      <x:c r="E27" s="14" t="str">
        <x:v>Company issuer release</x:v>
      </x:c>
      <x:c r="F27" s="14" t="str">
        <x:v>https://www.wipro.com/newsroom/press-releases/2026/wipro-announces-results-for-the-quarter-ended-june-30-2026/</x:v>
      </x:c>
      <x:c r="G27" s="14" t="str">
        <x:v>Primary</x:v>
      </x:c>
    </x:row>
    <x:row r="28">
      <x:c r="A28" s="14" t="str">
        <x:v>Wipro</x:v>
      </x:c>
      <x:c r="B28" s="14" t="str">
        <x:v>Q1 FY27</x:v>
      </x:c>
      <x:c r="C28" s="14" t="str">
        <x:v>IT services revenue (USD m)</x:v>
      </x:c>
      <x:c r="D28" s="48" t="n">
        <x:v>2614.5</x:v>
      </x:c>
      <x:c r="E28" s="14" t="str">
        <x:v>Company issuer release</x:v>
      </x:c>
      <x:c r="F28" s="14" t="str">
        <x:v>https://www.wipro.com/newsroom/press-releases/2026/wipro-announces-results-for-the-quarter-ended-june-30-2026/</x:v>
      </x:c>
      <x:c r="G28" s="14" t="str">
        <x:v>Primary</x:v>
      </x:c>
    </x:row>
    <x:row r="29">
      <x:c r="A29" s="14" t="str">
        <x:v>Wipro</x:v>
      </x:c>
      <x:c r="B29" s="14" t="str">
        <x:v>Q1 FY27</x:v>
      </x:c>
      <x:c r="C29" s="14" t="str">
        <x:v>Constant-currency YoY (%)</x:v>
      </x:c>
      <x:c r="D29" s="48" t="n">
        <x:v>0.9</x:v>
      </x:c>
      <x:c r="E29" s="14" t="str">
        <x:v>Company issuer release</x:v>
      </x:c>
      <x:c r="F29" s="14" t="str">
        <x:v>https://www.wipro.com/newsroom/press-releases/2026/wipro-announces-results-for-the-quarter-ended-june-30-2026/</x:v>
      </x:c>
      <x:c r="G29" s="14" t="str">
        <x:v>Primary</x:v>
      </x:c>
    </x:row>
    <x:row r="30">
      <x:c r="A30" s="14" t="str">
        <x:v>Wipro</x:v>
      </x:c>
      <x:c r="B30" s="14" t="str">
        <x:v>Q1 FY27</x:v>
      </x:c>
      <x:c r="C30" s="14" t="str">
        <x:v>IT services operating margin (%)</x:v>
      </x:c>
      <x:c r="D30" s="48" t="n">
        <x:v>16</x:v>
      </x:c>
      <x:c r="E30" s="14" t="str">
        <x:v>Company issuer release</x:v>
      </x:c>
      <x:c r="F30" s="14" t="str">
        <x:v>https://www.wipro.com/newsroom/press-releases/2026/wipro-announces-results-for-the-quarter-ended-june-30-2026/</x:v>
      </x:c>
      <x:c r="G30" s="14" t="str">
        <x:v>Primary</x:v>
      </x:c>
    </x:row>
    <x:row r="31">
      <x:c r="A31" s="14" t="str">
        <x:v>Wipro</x:v>
      </x:c>
      <x:c r="B31" s="14" t="str">
        <x:v>Q1 FY27</x:v>
      </x:c>
      <x:c r="C31" s="14" t="str">
        <x:v>Net income (INR Cr)</x:v>
      </x:c>
      <x:c r="D31" s="48" t="n">
        <x:v>3360</x:v>
      </x:c>
      <x:c r="E31" s="14" t="str">
        <x:v>Company issuer release</x:v>
      </x:c>
      <x:c r="F31" s="14" t="str">
        <x:v>https://www.wipro.com/newsroom/press-releases/2026/wipro-announces-results-for-the-quarter-ended-june-30-2026/</x:v>
      </x:c>
      <x:c r="G31" s="14" t="str">
        <x:v>Primary</x:v>
      </x:c>
    </x:row>
    <x:row r="32">
      <x:c r="A32" s="14" t="str">
        <x:v>Wipro</x:v>
      </x:c>
      <x:c r="B32" s="14" t="str">
        <x:v>Q1 FY27</x:v>
      </x:c>
      <x:c r="C32" s="14" t="str">
        <x:v>Total bookings (USD m)</x:v>
      </x:c>
      <x:c r="D32" s="48" t="n">
        <x:v>3370</x:v>
      </x:c>
      <x:c r="E32" s="14" t="str">
        <x:v>Company issuer release</x:v>
      </x:c>
      <x:c r="F32" s="14" t="str">
        <x:v>https://www.wipro.com/newsroom/press-releases/2026/wipro-announces-results-for-the-quarter-ended-june-30-2026/</x:v>
      </x:c>
      <x:c r="G32" s="14" t="str">
        <x:v>Primary</x:v>
      </x:c>
    </x:row>
    <x:row r="33">
      <x:c r="A33" s="14" t="str">
        <x:v>Wipro</x:v>
      </x:c>
      <x:c r="B33" s="14" t="str">
        <x:v>Q1 FY27</x:v>
      </x:c>
      <x:c r="C33" s="14" t="str">
        <x:v>Large deal bookings (USD m)</x:v>
      </x:c>
      <x:c r="D33" s="48" t="n">
        <x:v>1626</x:v>
      </x:c>
      <x:c r="E33" s="14" t="str">
        <x:v>Company issuer release</x:v>
      </x:c>
      <x:c r="F33" s="14" t="str">
        <x:v>https://www.wipro.com/newsroom/press-releases/2026/wipro-announces-results-for-the-quarter-ended-june-30-2026/</x:v>
      </x:c>
      <x:c r="G33" s="14" t="str">
        <x:v>Primary</x:v>
      </x:c>
    </x:row>
    <x:row r="34">
      <x:c r="A34" s="14" t="str">
        <x:v>Wipro</x:v>
      </x:c>
      <x:c r="B34" s="14" t="str">
        <x:v>Q1 FY27</x:v>
      </x:c>
      <x:c r="C34" s="14" t="str">
        <x:v>LTM attrition (%)</x:v>
      </x:c>
      <x:c r="D34" s="48" t="n">
        <x:v>13.9</x:v>
      </x:c>
      <x:c r="E34" s="14" t="str">
        <x:v>Company issuer release</x:v>
      </x:c>
      <x:c r="F34" s="14" t="str">
        <x:v>https://www.wipro.com/newsroom/press-releases/2026/wipro-announces-results-for-the-quarter-ended-june-30-2026/</x:v>
      </x:c>
      <x:c r="G34" s="14" t="str">
        <x:v>Primary</x:v>
      </x:c>
    </x:row>
    <x:row r="35">
      <x:c r="A35" s="14" t="str">
        <x:v>Wipro</x:v>
      </x:c>
      <x:c r="B35" s="14" t="str">
        <x:v>Q1 FY27</x:v>
      </x:c>
      <x:c r="C35" s="14" t="str">
        <x:v>Employee count</x:v>
      </x:c>
      <x:c r="D35" s="48"/>
      <x:c r="E35" s="14" t="str">
        <x:v>Issuer release states &gt;230,000 employees and business partners; exact employee headcount not captured here</x:v>
      </x:c>
      <x:c r="F35" s="14" t="str">
        <x:v>https://www.wipro.com/newsroom/press-releases/2026/wipro-announces-results-for-the-quarter-ended-june-30-2026/</x:v>
      </x:c>
      <x:c r="G35" s="14" t="str">
        <x:v>Not disclosed as exact metric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f87ef0fb38e4c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14" hidden="0" customWidth="1"/>
    <x:col min="4" max="4" width="14" hidden="0" customWidth="1"/>
    <x:col min="5" max="5" width="22" hidden="0" customWidth="1"/>
    <x:col min="6" max="6" width="52" hidden="0" customWidth="1"/>
    <x:col min="7" max="7" width="32" hidden="0" customWidth="1"/>
  </x:cols>
  <x:sheetData>
    <x:row r="1" ht="26" customHeight="1">
      <x:c r="A1" s="4" t="str">
        <x:v>Data Dictionary</x:v>
      </x:c>
    </x:row>
    <x:row r="2">
      <x:c r="A2" s="9" t="str">
        <x:v>Definitions, units, frequency and analytical treatment.</x:v>
      </x:c>
    </x:row>
    <x:row r="4">
      <x:c r="A4" s="19" t="str">
        <x:v>Field</x:v>
      </x:c>
      <x:c r="B4" s="19" t="str">
        <x:v>Definition</x:v>
      </x:c>
      <x:c r="C4" s="19" t="str">
        <x:v>Unit</x:v>
      </x:c>
      <x:c r="D4" s="19" t="str">
        <x:v>Frequency</x:v>
      </x:c>
      <x:c r="E4" s="19" t="str">
        <x:v>Source Role</x:v>
      </x:c>
      <x:c r="F4" s="19" t="str">
        <x:v>Cleaning / Calculation Rule</x:v>
      </x:c>
      <x:c r="G4" s="19" t="str">
        <x:v>Week 3/4 Use</x:v>
      </x:c>
    </x:row>
    <x:row r="5">
      <x:c r="A5" s="14" t="str">
        <x:v>Company</x:v>
      </x:c>
      <x:c r="B5" s="14" t="str">
        <x:v>Issuer name within peer universe</x:v>
      </x:c>
      <x:c r="C5" s="14" t="str">
        <x:v>Text</x:v>
      </x:c>
      <x:c r="D5" s="14" t="str">
        <x:v>Quarterly</x:v>
      </x:c>
      <x:c r="E5" s="14" t="str">
        <x:v>Identifier</x:v>
      </x:c>
      <x:c r="F5" s="14" t="str">
        <x:v>Standardized company label</x:v>
      </x:c>
      <x:c r="G5" s="14" t="str">
        <x:v>All peer charts</x:v>
      </x:c>
    </x:row>
    <x:row r="6">
      <x:c r="A6" s="14" t="str">
        <x:v>Period End</x:v>
      </x:c>
      <x:c r="B6" s="14" t="str">
        <x:v>Calendar quarter-end date label</x:v>
      </x:c>
      <x:c r="C6" s="14" t="str">
        <x:v>Month-Year</x:v>
      </x:c>
      <x:c r="D6" s="14" t="str">
        <x:v>Quarterly</x:v>
      </x:c>
      <x:c r="E6" s="14" t="str">
        <x:v>Time key</x:v>
      </x:c>
      <x:c r="F6" s="14" t="str">
        <x:v>Normalized to quarter-end labels</x:v>
      </x:c>
      <x:c r="G6" s="14" t="str">
        <x:v>Time series</x:v>
      </x:c>
    </x:row>
    <x:row r="7">
      <x:c r="A7" s="14" t="str">
        <x:v>Fiscal Quarter</x:v>
      </x:c>
      <x:c r="B7" s="14" t="str">
        <x:v>Quarter label</x:v>
      </x:c>
      <x:c r="C7" s="14" t="str">
        <x:v>Text</x:v>
      </x:c>
      <x:c r="D7" s="14" t="str">
        <x:v>Quarterly</x:v>
      </x:c>
      <x:c r="E7" s="14" t="str">
        <x:v>Time key</x:v>
      </x:c>
      <x:c r="F7" s="14" t="str">
        <x:v>Mapped to common fiscal-year convention</x:v>
      </x:c>
      <x:c r="G7" s="14" t="str">
        <x:v>Time ordering / back-test</x:v>
      </x:c>
    </x:row>
    <x:row r="8">
      <x:c r="A8" s="14" t="str">
        <x:v>Revenue (INR Cr)</x:v>
      </x:c>
      <x:c r="B8" s="14" t="str">
        <x:v>Reported sales / revenue from the standardized quarterly series</x:v>
      </x:c>
      <x:c r="C8" s="14" t="str">
        <x:v>INR crore</x:v>
      </x:c>
      <x:c r="D8" s="14" t="str">
        <x:v>Quarterly</x:v>
      </x:c>
      <x:c r="E8" s="14" t="str">
        <x:v>Core financial</x:v>
      </x:c>
      <x:c r="F8" s="14" t="str">
        <x:v>Standardized to INR crore; preserve source basis in notes</x:v>
      </x:c>
      <x:c r="G8" s="14" t="str">
        <x:v>Growth / forecast target</x:v>
      </x:c>
    </x:row>
    <x:row r="9">
      <x:c r="A9" s="14" t="str">
        <x:v>Operating Profit (INR Cr)</x:v>
      </x:c>
      <x:c r="B9" s="14" t="str">
        <x:v>Operating profit for margin analysis</x:v>
      </x:c>
      <x:c r="C9" s="14" t="str">
        <x:v>INR crore</x:v>
      </x:c>
      <x:c r="D9" s="14" t="str">
        <x:v>Quarterly</x:v>
      </x:c>
      <x:c r="E9" s="14" t="str">
        <x:v>Core financial</x:v>
      </x:c>
      <x:c r="F9" s="14" t="str">
        <x:v>Common unit; exceptional items flagged separately where necessary</x:v>
      </x:c>
      <x:c r="G9" s="14" t="str">
        <x:v>Margin analysis / forecast</x:v>
      </x:c>
    </x:row>
    <x:row r="10">
      <x:c r="A10" s="14" t="str">
        <x:v>Net Profit (INR Cr)</x:v>
      </x:c>
      <x:c r="B10" s="14" t="str">
        <x:v>Net profit attributable/period profit in structured series</x:v>
      </x:c>
      <x:c r="C10" s="14" t="str">
        <x:v>INR crore</x:v>
      </x:c>
      <x:c r="D10" s="14" t="str">
        <x:v>Quarterly</x:v>
      </x:c>
      <x:c r="E10" s="14" t="str">
        <x:v>Core financial</x:v>
      </x:c>
      <x:c r="F10" s="14" t="str">
        <x:v>Reconciled where issuer value differs from secondary series</x:v>
      </x:c>
      <x:c r="G10" s="14" t="str">
        <x:v>Net margin / earnings quality</x:v>
      </x:c>
    </x:row>
    <x:row r="11">
      <x:c r="A11" s="14" t="str">
        <x:v>QoQ Revenue Growth (%)</x:v>
      </x:c>
      <x:c r="B11" s="14" t="str">
        <x:v>Quarter-on-quarter revenue change</x:v>
      </x:c>
      <x:c r="C11" s="14" t="str">
        <x:v>%</x:v>
      </x:c>
      <x:c r="D11" s="14" t="str">
        <x:v>Quarterly</x:v>
      </x:c>
      <x:c r="E11" s="14" t="str">
        <x:v>Derived</x:v>
      </x:c>
      <x:c r="F11" s="14" t="str">
        <x:v>Current revenue / prior quarter revenue − 1</x:v>
      </x:c>
      <x:c r="G11" s="14" t="str">
        <x:v>Trend diagnostics</x:v>
      </x:c>
    </x:row>
    <x:row r="12">
      <x:c r="A12" s="14" t="str">
        <x:v>YoY Revenue Growth (%)</x:v>
      </x:c>
      <x:c r="B12" s="14" t="str">
        <x:v>Year-on-year revenue change</x:v>
      </x:c>
      <x:c r="C12" s="14" t="str">
        <x:v>%</x:v>
      </x:c>
      <x:c r="D12" s="14" t="str">
        <x:v>Quarterly</x:v>
      </x:c>
      <x:c r="E12" s="14" t="str">
        <x:v>Derived</x:v>
      </x:c>
      <x:c r="F12" s="14" t="str">
        <x:v>Current revenue / same quarter prior year − 1</x:v>
      </x:c>
      <x:c r="G12" s="14" t="str">
        <x:v>Seasonality / peer growth</x:v>
      </x:c>
    </x:row>
    <x:row r="13">
      <x:c r="A13" s="14" t="str">
        <x:v>Operating Margin (%)</x:v>
      </x:c>
      <x:c r="B13" s="14" t="str">
        <x:v>Operating profit divided by revenue</x:v>
      </x:c>
      <x:c r="C13" s="14" t="str">
        <x:v>%</x:v>
      </x:c>
      <x:c r="D13" s="14" t="str">
        <x:v>Quarterly</x:v>
      </x:c>
      <x:c r="E13" s="14" t="str">
        <x:v>Derived</x:v>
      </x:c>
      <x:c r="F13" s="14" t="str">
        <x:v>Operating profit / revenue</x:v>
      </x:c>
      <x:c r="G13" s="14" t="str">
        <x:v>Profitability comparison</x:v>
      </x:c>
    </x:row>
    <x:row r="14">
      <x:c r="A14" s="14" t="str">
        <x:v>Net Margin (%)</x:v>
      </x:c>
      <x:c r="B14" s="14" t="str">
        <x:v>Net profit divided by revenue</x:v>
      </x:c>
      <x:c r="C14" s="14" t="str">
        <x:v>%</x:v>
      </x:c>
      <x:c r="D14" s="14" t="str">
        <x:v>Quarterly</x:v>
      </x:c>
      <x:c r="E14" s="14" t="str">
        <x:v>Derived</x:v>
      </x:c>
      <x:c r="F14" s="14" t="str">
        <x:v>Net profit / revenue</x:v>
      </x:c>
      <x:c r="G14" s="14" t="str">
        <x:v>Earnings quality</x:v>
      </x:c>
    </x:row>
    <x:row r="15">
      <x:c r="A15" s="14" t="str">
        <x:v>Unit</x:v>
      </x:c>
      <x:c r="B15" s="14" t="str">
        <x:v>Measurement convention</x:v>
      </x:c>
      <x:c r="C15" s="14" t="str">
        <x:v>Text</x:v>
      </x:c>
      <x:c r="D15" s="14" t="str">
        <x:v>Static</x:v>
      </x:c>
      <x:c r="E15" s="14" t="str">
        <x:v>Control</x:v>
      </x:c>
      <x:c r="F15" s="14" t="str">
        <x:v>Financials standardized to INR crore</x:v>
      </x:c>
      <x:c r="G15" s="14" t="str">
        <x:v>Presentation</x:v>
      </x:c>
    </x:row>
    <x:row r="16">
      <x:c r="A16" s="14" t="str">
        <x:v>Data Status</x:v>
      </x:c>
      <x:c r="B16" s="14" t="str">
        <x:v>Traceability flag</x:v>
      </x:c>
      <x:c r="C16" s="14" t="str">
        <x:v>Text</x:v>
      </x:c>
      <x:c r="D16" s="14" t="str">
        <x:v>Quarterly</x:v>
      </x:c>
      <x:c r="E16" s="14" t="str">
        <x:v>Control</x:v>
      </x:c>
      <x:c r="F16" s="14" t="str">
        <x:v>Q1 FY27 tagged as issuer cross-check; historical structured series tagged secondary</x:v>
      </x:c>
      <x:c r="G16" s="14" t="str">
        <x:v>QA / handoff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5784ed9e5244dc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5" hidden="0" customWidth="1"/>
    <x:col min="3" max="3" width="55" hidden="0" customWidth="1"/>
    <x:col min="4" max="4" width="75" hidden="0" customWidth="1"/>
    <x:col min="5" max="5" width="30" hidden="0" customWidth="1"/>
  </x:cols>
  <x:sheetData>
    <x:row r="1" ht="26" customHeight="1">
      <x:c r="A1" s="4" t="str">
        <x:v>Source Log &amp; Hierarchy</x:v>
      </x:c>
    </x:row>
    <x:row r="2">
      <x:c r="A2" s="9" t="str">
        <x:v>Primary sources are preferred; secondary sources are retained only for structured extraction and cross-checking.</x:v>
      </x:c>
    </x:row>
    <x:row r="4">
      <x:c r="A4" s="19" t="str">
        <x:v>Priority</x:v>
      </x:c>
      <x:c r="B4" s="19" t="str">
        <x:v>Source</x:v>
      </x:c>
      <x:c r="C4" s="19" t="str">
        <x:v>Use</x:v>
      </x:c>
      <x:c r="D4" s="19" t="str">
        <x:v>Base URL / Reference</x:v>
      </x:c>
      <x:c r="E4" s="19" t="str">
        <x:v>Treatment</x:v>
      </x:c>
    </x:row>
    <x:row r="5">
      <x:c r="A5" s="14" t="str">
        <x:v>1</x:v>
      </x:c>
      <x:c r="B5" s="14" t="str">
        <x:v>TCS Investor Relations – Financial Statements</x:v>
      </x:c>
      <x:c r="C5" s="14" t="str">
        <x:v>Quarterly financial statements / historical verification</x:v>
      </x:c>
      <x:c r="D5" s="14" t="str">
        <x:v>https://www.tcs.com/investor-relations/financial-statements</x:v>
      </x:c>
      <x:c r="E5" s="14" t="str">
        <x:v>Source of record</x:v>
      </x:c>
    </x:row>
    <x:row r="6">
      <x:c r="A6" s="14" t="str">
        <x:v>1</x:v>
      </x:c>
      <x:c r="B6" s="14" t="str">
        <x:v>TCS Q1 FY27 Results</x:v>
      </x:c>
      <x:c r="C6" s="14" t="str">
        <x:v>Current revenue, margin, TCV, AI run-rate, headcount, attrition</x:v>
      </x:c>
      <x:c r="D6" s="14" t="str">
        <x:v>https://www.tcs.com/who-we-are/newsroom/press-release/tcs-financial-results-q1-fy-2027</x:v>
      </x:c>
      <x:c r="E6" s="14" t="str">
        <x:v>Source of record</x:v>
      </x:c>
    </x:row>
    <x:row r="7">
      <x:c r="A7" s="14" t="str">
        <x:v>1</x:v>
      </x:c>
      <x:c r="B7" s="14" t="str">
        <x:v>Infosys Quarterly Results</x:v>
      </x:c>
      <x:c r="C7" s="14" t="str">
        <x:v>Quarterly results and historical verification</x:v>
      </x:c>
      <x:c r="D7" s="14" t="str">
        <x:v>https://www.infosys.com/investors/reports-filings/quarterly-results/</x:v>
      </x:c>
      <x:c r="E7" s="14" t="str">
        <x:v>Source of record</x:v>
      </x:c>
    </x:row>
    <x:row r="8">
      <x:c r="A8" s="14" t="str">
        <x:v>1</x:v>
      </x:c>
      <x:c r="B8" s="14" t="str">
        <x:v>Infosys Q1 FY27 Results</x:v>
      </x:c>
      <x:c r="C8" s="14" t="str">
        <x:v>Current KPI validation</x:v>
      </x:c>
      <x:c r="D8" s="14" t="str">
        <x:v>https://www.infosys.com/investors/reports-filings/quarterly-results/2026-2027/q1.html</x:v>
      </x:c>
      <x:c r="E8" s="14" t="str">
        <x:v>Source of record</x:v>
      </x:c>
    </x:row>
    <x:row r="9">
      <x:c r="A9" s="14" t="str">
        <x:v>1</x:v>
      </x:c>
      <x:c r="B9" s="14" t="str">
        <x:v>HCLTech Financial Results</x:v>
      </x:c>
      <x:c r="C9" s="14" t="str">
        <x:v>Quarterly results and historical verification</x:v>
      </x:c>
      <x:c r="D9" s="14" t="str">
        <x:v>https://www.hcltech.com/en-us/investor-relations/financial-results</x:v>
      </x:c>
      <x:c r="E9" s="14" t="str">
        <x:v>Source of record</x:v>
      </x:c>
    </x:row>
    <x:row r="10">
      <x:c r="A10" s="14" t="str">
        <x:v>1</x:v>
      </x:c>
      <x:c r="B10" s="14" t="str">
        <x:v>HCLTech Q1 FY27 Results</x:v>
      </x:c>
      <x:c r="C10" s="14" t="str">
        <x:v>Current KPI validation</x:v>
      </x:c>
      <x:c r="D10" s="14" t="str">
        <x:v>https://www.hcltech.com/en-us/press-releases/hcltech-delivers-robust-q1-led-record-deal-bookings-24-billion</x:v>
      </x:c>
      <x:c r="E10" s="14" t="str">
        <x:v>Source of record</x:v>
      </x:c>
    </x:row>
    <x:row r="11">
      <x:c r="A11" s="14" t="str">
        <x:v>1</x:v>
      </x:c>
      <x:c r="B11" s="14" t="str">
        <x:v>Wipro Investor / Stock Exchange Filings</x:v>
      </x:c>
      <x:c r="C11" s="14" t="str">
        <x:v>Quarterly results and historical verification</x:v>
      </x:c>
      <x:c r="D11" s="14" t="str">
        <x:v>https://www.wipro.com/investors/corporate-governance/stock-exchange-filings/</x:v>
      </x:c>
      <x:c r="E11" s="14" t="str">
        <x:v>Source of record</x:v>
      </x:c>
    </x:row>
    <x:row r="12">
      <x:c r="A12" s="14" t="str">
        <x:v>1</x:v>
      </x:c>
      <x:c r="B12" s="14" t="str">
        <x:v>Wipro Q1 FY27 Results</x:v>
      </x:c>
      <x:c r="C12" s="14" t="str">
        <x:v>Current KPI validation</x:v>
      </x:c>
      <x:c r="D12" s="14" t="str">
        <x:v>https://www.wipro.com/newsroom/press-releases/2026/wipro-announces-results-for-the-quarter-ended-june-30-2026/</x:v>
      </x:c>
      <x:c r="E12" s="14" t="str">
        <x:v>Source of record</x:v>
      </x:c>
    </x:row>
    <x:row r="13">
      <x:c r="A13" s="14" t="str">
        <x:v>2</x:v>
      </x:c>
      <x:c r="B13" s="14" t="str">
        <x:v>Screener – TCS / INFY / HCLTECH / WIPRO</x:v>
      </x:c>
      <x:c r="C13" s="14" t="str">
        <x:v>Structured historical quarterly series used for extraction/reconciliation</x:v>
      </x:c>
      <x:c r="D13" s="14" t="str">
        <x:v>Screener consolidated company pages</x:v>
      </x:c>
      <x:c r="E13" s="14" t="str">
        <x:v>Secondary; not source of record</x:v>
      </x:c>
    </x:row>
    <x:row r="14">
      <x:c r="A14" s="14" t="str">
        <x:v>2</x:v>
      </x:c>
      <x:c r="B14" s="14" t="str">
        <x:v>Financial press / analyst summaries</x:v>
      </x:c>
      <x:c r="C14" s="14" t="str">
        <x:v>Locate figures and identify discrepancies</x:v>
      </x:c>
      <x:c r="D14" s="14" t="str">
        <x:v>Various</x:v>
      </x:c>
      <x:c r="E14" s="14" t="str">
        <x:v>Cross-check only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20fa3561829451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58" hidden="0" customWidth="1"/>
    <x:col min="4" max="4" width="14" hidden="0" customWidth="1"/>
    <x:col min="5" max="5" width="60" hidden="0" customWidth="1"/>
    <x:col min="6" max="6" width="48" hidden="0" customWidth="1"/>
  </x:cols>
  <x:sheetData>
    <x:row r="1" ht="26" customHeight="1">
      <x:c r="A1" s="4" t="str">
        <x:v>Quality Assurance &amp; Reconciliation Checks</x:v>
      </x:c>
    </x:row>
    <x:row r="2">
      <x:c r="A2" s="9" t="str">
        <x:v>Exceptions are documented so downstream analysis can distinguish data issues from genuine financial movements.</x:v>
      </x:c>
    </x:row>
    <x:row r="4">
      <x:c r="A4" s="19" t="str">
        <x:v>Check</x:v>
      </x:c>
      <x:c r="B4" s="19" t="str">
        <x:v>Expected Rule</x:v>
      </x:c>
      <x:c r="C4" s="19" t="str">
        <x:v>Observed / Result</x:v>
      </x:c>
      <x:c r="D4" s="19" t="str">
        <x:v>Status</x:v>
      </x:c>
      <x:c r="E4" s="19" t="str">
        <x:v>Action</x:v>
      </x:c>
      <x:c r="F4" s="19" t="str">
        <x:v>Impact on Analysis</x:v>
      </x:c>
    </x:row>
    <x:row r="5">
      <x:c r="A5" s="14" t="str">
        <x:v>Coverage</x:v>
      </x:c>
      <x:c r="B5" s="14" t="str">
        <x:v>≥12 quarters per company</x:v>
      </x:c>
      <x:c r="C5" s="14" t="str">
        <x:v>13 common quarters (Q1 FY24–Q1 FY27) for all four companies</x:v>
      </x:c>
      <x:c r="D5" s="14" t="str">
        <x:v>PASS</x:v>
      </x:c>
      <x:c r="E5" s="14" t="str">
        <x:v>Use common quarter window for peer comparisons</x:v>
      </x:c>
      <x:c r="F5" s="14" t="str">
        <x:v>Meets Week 1 minimum</x:v>
      </x:c>
    </x:row>
    <x:row r="6">
      <x:c r="A6" s="14" t="str">
        <x:v>Raw rows</x:v>
      </x:c>
      <x:c r="B6" s="14" t="str">
        <x:v>4 companies × 13 quarters = 52</x:v>
      </x:c>
      <x:c r="C6" s="14" t="str">
        <x:v>52 rows in Raw_Quarterly</x:v>
      </x:c>
      <x:c r="D6" s="14" t="str">
        <x:v>PASS</x:v>
      </x:c>
      <x:c r="E6" s="14" t="str">
        <x:v>No row-count adjustment required</x:v>
      </x:c>
      <x:c r="F6" s="14" t="str">
        <x:v>Complete common quarterly panel</x:v>
      </x:c>
    </x:row>
    <x:row r="7">
      <x:c r="A7" s="14" t="str">
        <x:v>Units</x:v>
      </x:c>
      <x:c r="B7" s="14" t="str">
        <x:v>Financial statement values in INR crore</x:v>
      </x:c>
      <x:c r="C7" s="14" t="str">
        <x:v>All historical revenue/op profit/net profit standardized to INR crore</x:v>
      </x:c>
      <x:c r="D7" s="14" t="str">
        <x:v>PASS</x:v>
      </x:c>
      <x:c r="E7" s="14" t="str">
        <x:v>Retain source currency in source notes when relevant</x:v>
      </x:c>
      <x:c r="F7" s="14" t="str">
        <x:v>Improves comparability</x:v>
      </x:c>
    </x:row>
    <x:row r="8">
      <x:c r="A8" s="14" t="str">
        <x:v>Company basis</x:v>
      </x:c>
      <x:c r="B8" s="14" t="str">
        <x:v>Peer comparisons should use comparable operating basis</x:v>
      </x:c>
      <x:c r="C8" s="14" t="str">
        <x:v>Wipro current margin is IT-services basis; document any basis difference</x:v>
      </x:c>
      <x:c r="D8" s="14" t="str">
        <x:v>FLAG</x:v>
      </x:c>
      <x:c r="E8" s="14" t="str">
        <x:v>Keep Wipro basis explicit in Week 3 charts</x:v>
      </x:c>
      <x:c r="F8" s="14" t="str">
        <x:v>Comparability caveat</x:v>
      </x:c>
    </x:row>
    <x:row r="9">
      <x:c r="A9" s="14" t="str">
        <x:v>TCS Q1 FY27</x:v>
      </x:c>
      <x:c r="B9" s="14" t="str">
        <x:v>Use issuer release for latest validation</x:v>
      </x:c>
      <x:c r="C9" s="14" t="str">
        <x:v>Structured series retained for history; current KPI tab uses issuer release</x:v>
      </x:c>
      <x:c r="D9" s="14" t="str">
        <x:v>PASS</x:v>
      </x:c>
      <x:c r="E9" s="14" t="str">
        <x:v>Issuer source governs current KPI</x:v>
      </x:c>
      <x:c r="F9" s="14" t="str">
        <x:v>Reduces stale-data risk</x:v>
      </x:c>
    </x:row>
    <x:row r="10">
      <x:c r="A10" s="14" t="str">
        <x:v>Infosys Q1 FY27 net profit</x:v>
      </x:c>
      <x:c r="B10" s="14" t="str">
        <x:v>Prefer issuer-reported value</x:v>
      </x:c>
      <x:c r="C10" s="14" t="str">
        <x:v>Issuer: ₹7,769 Cr; structured series: ₹7,775 Cr</x:v>
      </x:c>
      <x:c r="D10" s="14" t="str">
        <x:v>FLAG</x:v>
      </x:c>
      <x:c r="E10" s="14" t="str">
        <x:v>Use issuer value in current KPI snapshot; retain secondary series for time-series continuity</x:v>
      </x:c>
      <x:c r="F10" s="14" t="str">
        <x:v>Small reconciliation difference</x:v>
      </x:c>
    </x:row>
    <x:row r="11">
      <x:c r="A11" s="14" t="str">
        <x:v>HCLTech Q1 FY27 net income</x:v>
      </x:c>
      <x:c r="B11" s="14" t="str">
        <x:v>Prefer issuer-reported value</x:v>
      </x:c>
      <x:c r="C11" s="14" t="str">
        <x:v>Issuer: ₹4,624 Cr; structured series: ₹4,626 Cr</x:v>
      </x:c>
      <x:c r="D11" s="14" t="str">
        <x:v>FLAG</x:v>
      </x:c>
      <x:c r="E11" s="14" t="str">
        <x:v>Use issuer value in current KPI snapshot</x:v>
      </x:c>
      <x:c r="F11" s="14" t="str">
        <x:v>Small reconciliation difference</x:v>
      </x:c>
    </x:row>
    <x:row r="12">
      <x:c r="A12" s="14" t="str">
        <x:v>Wipro Q1 FY27 net income</x:v>
      </x:c>
      <x:c r="B12" s="14" t="str">
        <x:v>Prefer issuer-reported value</x:v>
      </x:c>
      <x:c r="C12" s="14" t="str">
        <x:v>Issuer: ₹3,360 Cr; structured series: ₹3,356 Cr</x:v>
      </x:c>
      <x:c r="D12" s="14" t="str">
        <x:v>FLAG</x:v>
      </x:c>
      <x:c r="E12" s="14" t="str">
        <x:v>Use issuer value in current KPI snapshot</x:v>
      </x:c>
      <x:c r="F12" s="14" t="str">
        <x:v>Small reconciliation difference</x:v>
      </x:c>
    </x:row>
    <x:row r="13">
      <x:c r="A13" s="14" t="str">
        <x:v>Wipro headcount</x:v>
      </x:c>
      <x:c r="B13" s="14" t="str">
        <x:v>Exact employee count required for productivity metric</x:v>
      </x:c>
      <x:c r="C13" s="14" t="str">
        <x:v>Issuer communication states &gt;230,000 employees and business partners; exact count not captured in current extraction</x:v>
      </x:c>
      <x:c r="D13" s="14" t="str">
        <x:v>FLAG</x:v>
      </x:c>
      <x:c r="E13" s="14" t="str">
        <x:v>Do not invent a precise headcount; source a fact sheet in future iteration</x:v>
      </x:c>
      <x:c r="F13" s="14" t="str">
        <x:v>Limits productivity comparability</x:v>
      </x:c>
    </x:row>
    <x:row r="14">
      <x:c r="A14" s="14" t="str">
        <x:v>Currency growth</x:v>
      </x:c>
      <x:c r="B14" s="14" t="str">
        <x:v>Rupee growth must not be treated as underlying demand</x:v>
      </x:c>
      <x:c r="C14" s="14" t="str">
        <x:v>CC and INR growth are stored separately in Current_KPIs where issuer discloses them</x:v>
      </x:c>
      <x:c r="D14" s="14" t="str">
        <x:v>PASS</x:v>
      </x:c>
      <x:c r="E14" s="14" t="str">
        <x:v>Week 3 should show both views</x:v>
      </x:c>
      <x:c r="F14" s="14" t="str">
        <x:v>Avoids FX-driven overstatement</x:v>
      </x:c>
    </x:row>
    <x:row r="15">
      <x:c r="A15" s="14" t="str">
        <x:v>Look-ahead</x:v>
      </x:c>
      <x:c r="B15" s="14" t="str">
        <x:v>Forecast inputs must be public at forecast date</x:v>
      </x:c>
      <x:c r="C15" s="14" t="str">
        <x:v>Source date and Q1 FY27 cutoff retained</x:v>
      </x:c>
      <x:c r="D15" s="14" t="str">
        <x:v>PASS</x:v>
      </x:c>
      <x:c r="E15" s="14" t="str">
        <x:v>Use time-ordered splits in Week 4</x:v>
      </x:c>
      <x:c r="F15" s="14" t="str">
        <x:v>Controls leakage</x:v>
      </x:c>
    </x:row>
  </x:sheetData>
  <x:mergeCells>
    <x:mergeCell ref="A1:F1"/>
    <x:mergeCell ref="A2:F2"/>
  </x:mergeCells>
  <x:conditionalFormatting sqref="D5:D15">
    <x:cfRule type="expression" dxfId="0" priority="1">
      <x:formula>D5="PASS"</x:formula>
    </x:cfRule>
    <x:cfRule type="expression" dxfId="1" priority="2">
      <x:formula>D5="FLAG"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5bf92b2ee646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6" customHeight="1">
      <x:c r="A1" s="4" t="str">
        <x:v>Revenue Index for Peer Comparability</x:v>
      </x:c>
    </x:row>
    <x:row r="2">
      <x:c r="A2" s="9" t="str">
        <x:v>Q1 FY24 = 100 for each company. Calculated from the cleaned INR crore revenue series.</x:v>
      </x:c>
    </x:row>
    <x:row r="4">
      <x:c r="A4" s="19" t="str">
        <x:v>Period</x:v>
      </x:c>
      <x:c r="B4" s="19" t="str">
        <x:v>TCS</x:v>
      </x:c>
      <x:c r="C4" s="19" t="str">
        <x:v>Infosys</x:v>
      </x:c>
      <x:c r="D4" s="19" t="str">
        <x:v>HCLTech</x:v>
      </x:c>
      <x:c r="E4" s="19" t="str">
        <x:v>Wipro</x:v>
      </x:c>
      <x:c r="F4" s="19"/>
      <x:c r="G4" s="19"/>
      <x:c r="H4" s="19"/>
      <x:c r="I4" s="19"/>
      <x:c r="J4" s="19"/>
      <x:c r="K4" s="19"/>
      <x:c r="L4" s="19"/>
      <x:c r="M4" s="19"/>
      <x:c r="N4" s="19"/>
    </x:row>
    <x:row r="5">
      <x:c r="A5" t="str">
        <x:v>Jun-23</x:v>
      </x:c>
      <x:c r="B5" s="50" t="n">
        <x:f>Cleaned_Quarterly!D5/Cleaned_Quarterly!D5</x:f>
        <x:v>1</x:v>
      </x:c>
      <x:c r="C5" s="50" t="n">
        <x:f>Cleaned_Quarterly!D18/Cleaned_Quarterly!D18</x:f>
        <x:v>1</x:v>
      </x:c>
      <x:c r="D5" s="50" t="n">
        <x:f>Cleaned_Quarterly!D31/Cleaned_Quarterly!D31</x:f>
        <x:v>1</x:v>
      </x:c>
      <x:c r="E5" s="50" t="n">
        <x:f>Cleaned_Quarterly!D44/Cleaned_Quarterly!D44</x:f>
        <x:v>1</x:v>
      </x:c>
      <x:c r="F5" s="50"/>
      <x:c r="G5" s="50"/>
      <x:c r="H5" s="50"/>
      <x:c r="I5" s="50"/>
      <x:c r="J5" s="50"/>
      <x:c r="K5" s="50"/>
      <x:c r="L5" s="50"/>
      <x:c r="M5" s="50"/>
      <x:c r="N5" s="50"/>
    </x:row>
    <x:row r="6">
      <x:c r="A6" t="str">
        <x:v>Sep-23</x:v>
      </x:c>
      <x:c r="B6" s="50" t="n">
        <x:f>Cleaned_Quarterly!D6/Cleaned_Quarterly!D5</x:f>
        <x:v>1.005237365487277</x:v>
      </x:c>
      <x:c r="C6" s="50" t="n">
        <x:f>Cleaned_Quarterly!D19/Cleaned_Quarterly!D18</x:f>
        <x:v>1.0279703688081618</x:v>
      </x:c>
      <x:c r="D6" s="50" t="n">
        <x:f>Cleaned_Quarterly!D32/Cleaned_Quarterly!D31</x:f>
        <x:v>1.0142987526620018</x:v>
      </x:c>
      <x:c r="E6" s="50" t="n">
        <x:f>Cleaned_Quarterly!D45/Cleaned_Quarterly!D44</x:f>
        <x:v>0.9862029696465332</x:v>
      </x:c>
      <x:c r="F6" s="50"/>
      <x:c r="G6" s="50"/>
      <x:c r="H6" s="50"/>
      <x:c r="I6" s="50"/>
      <x:c r="J6" s="50"/>
      <x:c r="K6" s="50"/>
      <x:c r="L6" s="50"/>
      <x:c r="M6" s="50"/>
      <x:c r="N6" s="50"/>
    </x:row>
    <x:row r="7">
      <x:c r="A7" t="str">
        <x:v>Dec-23</x:v>
      </x:c>
      <x:c r="B7" s="50" t="n">
        <x:f>Cleaned_Quarterly!D7/Cleaned_Quarterly!D5</x:f>
        <x:v>1.0202421650022735</x:v>
      </x:c>
      <x:c r="C7" s="50" t="n">
        <x:f>Cleaned_Quarterly!D20/Cleaned_Quarterly!D18</x:f>
        <x:v>1.0234096960430232</x:v>
      </x:c>
      <x:c r="D7" s="50" t="n">
        <x:f>Cleaned_Quarterly!D33/Cleaned_Quarterly!D31</x:f>
        <x:v>1.0817614846364465</x:v>
      </x:c>
      <x:c r="E7" s="50" t="n">
        <x:f>Cleaned_Quarterly!D46/Cleaned_Quarterly!D44</x:f>
        <x:v>0.9725811396785073</x:v>
      </x:c>
      <x:c r="F7" s="50"/>
      <x:c r="G7" s="50"/>
      <x:c r="H7" s="50"/>
      <x:c r="I7" s="50"/>
      <x:c r="J7" s="50"/>
      <x:c r="K7" s="50"/>
      <x:c r="L7" s="50"/>
      <x:c r="M7" s="50"/>
      <x:c r="N7" s="50"/>
    </x:row>
    <x:row r="8">
      <x:c r="A8" t="str">
        <x:v>Mar-24</x:v>
      </x:c>
      <x:c r="B8" s="50" t="n">
        <x:f>Cleaned_Quarterly!D8/Cleaned_Quarterly!D5</x:f>
        <x:v>1.0312557888887017</x:v>
      </x:c>
      <x:c r="C8" s="50" t="n">
        <x:f>Cleaned_Quarterly!D21/Cleaned_Quarterly!D18</x:f>
        <x:v>0.9997363772968128</x:v>
      </x:c>
      <x:c r="D8" s="50" t="n">
        <x:f>Cleaned_Quarterly!D34/Cleaned_Quarterly!D31</x:f>
        <x:v>1.0837770003042289</x:v>
      </x:c>
      <x:c r="E8" s="50" t="n">
        <x:f>Cleaned_Quarterly!D47/Cleaned_Quarterly!D44</x:f>
        <x:v>0.9727125399675879</x:v>
      </x:c>
      <x:c r="F8" s="50"/>
      <x:c r="G8" s="50"/>
      <x:c r="H8" s="50"/>
      <x:c r="I8" s="50"/>
      <x:c r="J8" s="50"/>
      <x:c r="K8" s="50"/>
      <x:c r="L8" s="50"/>
      <x:c r="M8" s="50"/>
      <x:c r="N8" s="50"/>
    </x:row>
    <x:row r="9">
      <x:c r="A9" t="str">
        <x:v>Jun-24</x:v>
      </x:c>
      <x:c r="B9" s="50" t="n">
        <x:f>Cleaned_Quarterly!D9/Cleaned_Quarterly!D5</x:f>
        <x:v>1.054428184099291</x:v>
      </x:c>
      <x:c r="C9" s="50" t="n">
        <x:f>Cleaned_Quarterly!D22/Cleaned_Quarterly!D18</x:f>
        <x:v>1.0364326575804708</x:v>
      </x:c>
      <x:c r="D9" s="50" t="n">
        <x:f>Cleaned_Quarterly!D35/Cleaned_Quarterly!D31</x:f>
        <x:v>1.0669683602068756</x:v>
      </x:c>
      <x:c r="E9" s="50" t="n">
        <x:f>Cleaned_Quarterly!D48/Cleaned_Quarterly!D44</x:f>
        <x:v>0.9620253164556962</x:v>
      </x:c>
    </x:row>
    <x:row r="10">
      <x:c r="A10" t="str">
        <x:v>Sep-24</x:v>
      </x:c>
      <x:c r="B10" s="50" t="n">
        <x:f>Cleaned_Quarterly!D10/Cleaned_Quarterly!D5</x:f>
        <x:v>1.0821474882538185</x:v>
      </x:c>
      <x:c r="C10" s="50" t="n">
        <x:f>Cleaned_Quarterly!D23/Cleaned_Quarterly!D18</x:f>
        <x:v>1.0804840112830516</x:v>
      </x:c>
      <x:c r="D10" s="50" t="n">
        <x:f>Cleaned_Quarterly!D36/Cleaned_Quarterly!D31</x:f>
        <x:v>1.0975813811986614</x:v>
      </x:c>
      <x:c r="E10" s="50" t="n">
        <x:f>Cleaned_Quarterly!D49/Cleaned_Quarterly!D44</x:f>
        <x:v>0.9768297490254478</x:v>
      </x:c>
    </x:row>
    <x:row r="11">
      <x:c r="A11" s="53" t="str">
        <x:v>Dec-24</x:v>
      </x:c>
      <x:c r="B11" s="50" t="n">
        <x:f>Cleaned_Quarterly!D11/Cleaned_Quarterly!D5</x:f>
        <x:v>1.0773311328539432</x:v>
      </x:c>
      <x:c r="C11" s="50" t="n">
        <x:f>Cleaned_Quarterly!D24/Cleaned_Quarterly!D18</x:f>
        <x:v>1.1009938575910156</x:v>
      </x:c>
      <x:c r="D11" s="50" t="n">
        <x:f>Cleaned_Quarterly!D37/Cleaned_Quarterly!D31</x:f>
        <x:v>1.1366747794341345</x:v>
      </x:c>
      <x:c r="E11" s="50" t="n">
        <x:f>Cleaned_Quarterly!D50/Cleaned_Quarterly!D44</x:f>
        <x:v>0.9775743506635715</x:v>
      </x:c>
    </x:row>
    <x:row r="12">
      <x:c r="A12" t="str">
        <x:v>Mar-25</x:v>
      </x:c>
      <x:c r="B12" s="50" t="n">
        <x:f>Cleaned_Quarterly!D12/Cleaned_Quarterly!D5</x:f>
        <x:v>1.0858523770229536</x:v>
      </x:c>
      <x:c r="C12" s="50" t="n">
        <x:f>Cleaned_Quarterly!D25/Cleaned_Quarterly!D18</x:f>
        <x:v>1.0788759127936098</x:v>
      </x:c>
      <x:c r="D12" s="50" t="n">
        <x:f>Cleaned_Quarterly!D38/Cleaned_Quarterly!D31</x:f>
        <x:v>1.1502129601460298</x:v>
      </x:c>
      <x:c r="E12" s="50" t="n">
        <x:f>Cleaned_Quarterly!D51/Cleaned_Quarterly!D44</x:f>
        <x:v>0.9856773684902107</x:v>
      </x:c>
    </x:row>
    <x:row r="13">
      <x:c r="A13" t="str">
        <x:v>Jun-25</x:v>
      </x:c>
      <x:c r="B13" s="50" t="n">
        <x:f>Cleaned_Quarterly!D13/Cleaned_Quarterly!D5</x:f>
        <x:v>1.0683046765800508</x:v>
      </x:c>
      <x:c r="C13" s="50" t="n">
        <x:f>Cleaned_Quarterly!D26/Cleaned_Quarterly!D18</x:f>
        <x:v>1.1145704268051564</x:v>
      </x:c>
      <x:c r="D13" s="50" t="n">
        <x:f>Cleaned_Quarterly!D39/Cleaned_Quarterly!D31</x:f>
        <x:v>1.1541299056890781</x:v>
      </x:c>
      <x:c r="E13" s="50" t="n">
        <x:f>Cleaned_Quarterly!D52/Cleaned_Quarterly!D44</x:f>
        <x:v>0.9695151329332925</x:v>
      </x:c>
    </x:row>
    <x:row r="14">
      <x:c r="A14" t="str">
        <x:v>Sep-25</x:v>
      </x:c>
      <x:c r="B14" s="50" t="n">
        <x:f>Cleaned_Quarterly!D14/Cleaned_Quarterly!D5</x:f>
        <x:v>1.1080817096377629</x:v>
      </x:c>
      <x:c r="C14" s="50" t="n">
        <x:f>Cleaned_Quarterly!D27/Cleaned_Quarterly!D18</x:f>
        <x:v>1.172857406479846</x:v>
      </x:c>
      <x:c r="D14" s="50" t="n">
        <x:f>Cleaned_Quarterly!D40/Cleaned_Quarterly!D31</x:f>
        <x:v>1.2147094615150593</x:v>
      </x:c>
      <x:c r="E14" s="50" t="n">
        <x:f>Cleaned_Quarterly!D53/Cleaned_Quarterly!D44</x:f>
        <x:v>0.9941307870877316</x:v>
      </x:c>
    </x:row>
    <x:row r="15">
      <x:c r="A15" t="str">
        <x:v>Dec-25</x:v>
      </x:c>
      <x:c r="B15" s="50" t="n">
        <x:f>Cleaned_Quarterly!D15/Cleaned_Quarterly!D5</x:f>
        <x:v>1.1297721493406983</x:v>
      </x:c>
      <x:c r="C15" s="50" t="n">
        <x:f>Cleaned_Quarterly!D28/Cleaned_Quarterly!D18</x:f>
        <x:v>1.19892969182506</x:v>
      </x:c>
      <x:c r="D15" s="50" t="n">
        <x:f>Cleaned_Quarterly!D41/Cleaned_Quarterly!D31</x:f>
        <x:v>1.2881046547003348</x:v>
      </x:c>
      <x:c r="E15" s="50" t="n">
        <x:f>Cleaned_Quarterly!D54/Cleaned_Quarterly!D44</x:f>
        <x:v>1.0317550698611537</x:v>
      </x:c>
    </x:row>
    <x:row r="16">
      <x:c r="A16" t="str">
        <x:v>Mar-26</x:v>
      </x:c>
      <x:c r="B16" s="50" t="n">
        <x:f>Cleaned_Quarterly!D16/Cleaned_Quarterly!D5</x:f>
        <x:v>1.190582846364999</x:v>
      </x:c>
      <x:c r="C16" s="50" t="n">
        <x:f>Cleaned_Quarterly!D29/Cleaned_Quarterly!D18</x:f>
        <x:v>1.2232620673292385</x:v>
      </x:c>
      <x:c r="D16" s="50" t="n">
        <x:f>Cleaned_Quarterly!D42/Cleaned_Quarterly!D31</x:f>
        <x:v>1.292249771828415</x:v>
      </x:c>
      <x:c r="E16" s="50" t="n">
        <x:f>Cleaned_Quarterly!D55/Cleaned_Quarterly!D44</x:f>
        <x:v>1.061539135386098</x:v>
      </x:c>
    </x:row>
    <x:row r="17">
      <x:c r="A17" t="str">
        <x:v>Jun-26</x:v>
      </x:c>
      <x:c r="B17" s="50" t="n">
        <x:f>Cleaned_Quarterly!D17/Cleaned_Quarterly!D5</x:f>
        <x:v>1.2171401626782978</x:v>
      </x:c>
      <x:c r="C17" s="50" t="n">
        <x:f>Cleaned_Quarterly!D30/Cleaned_Quarterly!D18</x:f>
        <x:v>1.2709514143358025</x:v>
      </x:c>
      <x:c r="D17" s="50" t="n">
        <x:f>Cleaned_Quarterly!D43/Cleaned_Quarterly!D31</x:f>
        <x:v>1.3149908731365987</x:v>
      </x:c>
      <x:c r="E17" s="50" t="n">
        <x:f>Cleaned_Quarterly!D56/Cleaned_Quarterly!D44</x:f>
        <x:v>1.0721825588016294</x:v>
      </x:c>
    </x:row>
    <x:row r="20">
      <x:c r="A20" s="53" t="str">
        <x:v>Interpretation: Q1 FY24 is indexed to 1.0x (100) for each company, removing absolute scale and allowing revenue trajectories to be compared.</x:v>
      </x:c>
    </x:row>
  </x:sheetData>
  <x:mergeCells>
    <x:mergeCell ref="A1:N1"/>
    <x:mergeCell ref="A2:N2"/>
    <x:mergeCell ref="A11:N11"/>
    <x:mergeCell ref="A20:E20"/>
  </x:mergeCells>
  <x:pageMargins left="0.7" right="0.7" top="0.75" bottom="0.75" header="0.3" footer="0.3"/>
  <x:drawing xmlns:r="http://schemas.openxmlformats.org/officeDocument/2006/relationships" r:id="R422eb1376ec94cb7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2" hidden="0" customWidth="1"/>
    <x:col min="4" max="4" width="24" hidden="0" customWidth="1"/>
    <x:col min="5" max="5" width="62" hidden="0" customWidth="1"/>
  </x:cols>
  <x:sheetData>
    <x:row r="1" ht="26" customHeight="1">
      <x:c r="A1" s="4" t="str">
        <x:v>Week 2 Analyst Control Panel</x:v>
      </x:c>
    </x:row>
    <x:row r="2">
      <x:c r="A2" s="9" t="str">
        <x:v>Summary of data coverage, current validation and downstream handoff.</x:v>
      </x:c>
    </x:row>
    <x:row r="4">
      <x:c r="A4" s="19" t="str">
        <x:v>Metric</x:v>
      </x:c>
      <x:c r="B4" s="19" t="str">
        <x:v>Value</x:v>
      </x:c>
      <x:c r="D4" s="19" t="str">
        <x:v>Key QA flags</x:v>
      </x:c>
      <x:c r="E4" s="19"/>
      <x:c r="F4" s="19"/>
      <x:c r="G4" s="19"/>
      <x:c r="H4" s="19"/>
    </x:row>
    <x:row r="5">
      <x:c r="A5" s="56" t="str">
        <x:v>Companies in scope</x:v>
      </x:c>
      <x:c r="B5" s="14" t="n">
        <x:v>4</x:v>
      </x:c>
      <x:c r="D5" s="19" t="str">
        <x:v>Flag</x:v>
      </x:c>
      <x:c r="E5" s="19" t="str">
        <x:v>Reason</x:v>
      </x:c>
    </x:row>
    <x:row r="6">
      <x:c r="A6" s="56" t="str">
        <x:v>Common quarterly observations</x:v>
      </x:c>
      <x:c r="B6" s="14" t="n">
        <x:v>52</x:v>
      </x:c>
      <x:c r="D6" s="14" t="str">
        <x:v>Peer basis</x:v>
      </x:c>
      <x:c r="E6" s="14" t="str">
        <x:v>Wipro operating margin is IT-services basis; keep explicit.</x:v>
      </x:c>
    </x:row>
    <x:row r="7">
      <x:c r="A7" s="56" t="str">
        <x:v>Quarters per company</x:v>
      </x:c>
      <x:c r="B7" s="14" t="n">
        <x:v>13</x:v>
      </x:c>
      <x:c r="D7" s="14" t="str">
        <x:v>Profit reconciliation</x:v>
      </x:c>
      <x:c r="E7" s="14" t="str">
        <x:v>Small Q1 FY27 differences between issuer and secondary series for Infosys/HCLTech/Wipro.</x:v>
      </x:c>
    </x:row>
    <x:row r="8">
      <x:c r="A8" s="56" t="str">
        <x:v>Historical window</x:v>
      </x:c>
      <x:c r="B8" s="14" t="str">
        <x:v>Q1 FY24–Q1 FY27</x:v>
      </x:c>
      <x:c r="D8" s="14" t="str">
        <x:v>Wipro headcount</x:v>
      </x:c>
      <x:c r="E8" s="14" t="str">
        <x:v>Exact current count not captured; do not invent.</x:v>
      </x:c>
    </x:row>
    <x:row r="9">
      <x:c r="A9" s="56" t="str">
        <x:v>Standard financial unit</x:v>
      </x:c>
      <x:c r="B9" s="14" t="str">
        <x:v>INR crore</x:v>
      </x:c>
      <x:c r="D9" s="14" t="str">
        <x:v>Historical source layer</x:v>
      </x:c>
      <x:c r="E9" s="14" t="str">
        <x:v>Screener is secondary structured extraction; primary verification is required before final modeling.</x:v>
      </x:c>
    </x:row>
    <x:row r="10">
      <x:c r="A10" s="56" t="str">
        <x:v>Current KPI period</x:v>
      </x:c>
      <x:c r="B10" s="14" t="str">
        <x:v>Q1 FY27</x:v>
      </x:c>
    </x:row>
    <x:row r="11">
      <x:c r="A11" s="56" t="str">
        <x:v>Primary-source principle</x:v>
      </x:c>
      <x:c r="B11" s="14" t="str">
        <x:v>Yes</x:v>
      </x:c>
    </x:row>
    <x:row r="12">
      <x:c r="A12" s="56" t="str">
        <x:v>Secondary structured extraction</x:v>
      </x:c>
      <x:c r="B12" s="14" t="str">
        <x:v>Screener; historical only</x:v>
      </x:c>
    </x:row>
    <x:row r="13">
      <x:c r="A13" s="56" t="str">
        <x:v>Downstream deliverables</x:v>
      </x:c>
      <x:c r="B13" s="14" t="str">
        <x:v>Week 3 visualization; Week 4 forecasting</x:v>
      </x:c>
    </x:row>
  </x:sheetData>
  <x:mergeCells>
    <x:mergeCell ref="A1:H1"/>
    <x:mergeCell ref="A2:H2"/>
    <x:mergeCell ref="D4:H4"/>
  </x:mergeCells>
  <x:pageMargins left="0.7" right="0.7" top="0.75" bottom="0.75" header="0.3" footer="0.3"/>
</x:worksheet>
</file>